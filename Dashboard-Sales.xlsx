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0efdd7bf1441b7/Documentos/Projetos currículo/"/>
    </mc:Choice>
  </mc:AlternateContent>
  <xr:revisionPtr revIDLastSave="0" documentId="8_{1D12513E-8802-424B-8AC9-D05C51D8950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lanilha1" sheetId="2" r:id="rId1"/>
    <sheet name="Dashboard" sheetId="3" r:id="rId2"/>
    <sheet name="Base dados" sheetId="1" r:id="rId3"/>
  </sheets>
  <definedNames>
    <definedName name="SegmentaçãodeDados_produto">#N/A</definedName>
  </definedNames>
  <calcPr calcId="191028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16" i="2"/>
  <c r="E40" i="2" s="1" a="1"/>
  <c r="E40" i="2" s="1"/>
  <c r="J55" i="2" a="1"/>
  <c r="J55" i="2" s="1"/>
  <c r="A35" i="2" a="1"/>
  <c r="A35" i="2" s="1"/>
  <c r="P15" i="2" a="1"/>
  <c r="P15" i="2" s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2" i="1"/>
  <c r="D43" i="1" a="1"/>
  <c r="D43" i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/>
  <c r="D52" i="1" a="1"/>
  <c r="D52" i="1"/>
  <c r="D53" i="1" a="1"/>
  <c r="D53" i="1"/>
  <c r="D54" i="1" a="1"/>
  <c r="D54" i="1"/>
  <c r="D55" i="1" a="1"/>
  <c r="D55" i="1"/>
  <c r="D56" i="1" a="1"/>
  <c r="D56" i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/>
  <c r="D64" i="1" a="1"/>
  <c r="D64" i="1"/>
  <c r="D65" i="1" a="1"/>
  <c r="D65" i="1"/>
  <c r="D66" i="1" a="1"/>
  <c r="D66" i="1"/>
  <c r="D67" i="1" a="1"/>
  <c r="D67" i="1"/>
  <c r="D68" i="1" a="1"/>
  <c r="D68" i="1"/>
  <c r="D69" i="1" a="1"/>
  <c r="D69" i="1"/>
  <c r="D70" i="1" a="1"/>
  <c r="D70" i="1"/>
  <c r="D71" i="1" a="1"/>
  <c r="D71" i="1"/>
  <c r="D72" i="1" a="1"/>
  <c r="D72" i="1"/>
  <c r="D73" i="1" a="1"/>
  <c r="D73" i="1"/>
  <c r="D74" i="1" a="1"/>
  <c r="D74" i="1"/>
  <c r="D75" i="1" a="1"/>
  <c r="D75" i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/>
  <c r="D82" i="1" a="1"/>
  <c r="D82" i="1"/>
  <c r="D83" i="1" a="1"/>
  <c r="D83" i="1"/>
  <c r="D84" i="1" a="1"/>
  <c r="D84" i="1"/>
  <c r="D85" i="1" a="1"/>
  <c r="D85" i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0" i="1"/>
  <c r="D101" i="1" a="1"/>
  <c r="D101" i="1"/>
  <c r="D102" i="1" a="1"/>
  <c r="D102" i="1"/>
  <c r="D103" i="1" a="1"/>
  <c r="D103" i="1"/>
  <c r="D104" i="1" a="1"/>
  <c r="D104" i="1"/>
  <c r="D105" i="1" a="1"/>
  <c r="D105" i="1"/>
  <c r="D106" i="1" a="1"/>
  <c r="D106" i="1"/>
  <c r="D107" i="1" a="1"/>
  <c r="D107" i="1"/>
  <c r="D108" i="1" a="1"/>
  <c r="D108" i="1"/>
  <c r="D109" i="1" a="1"/>
  <c r="D109" i="1"/>
  <c r="D110" i="1" a="1"/>
  <c r="D110" i="1"/>
  <c r="D111" i="1" a="1"/>
  <c r="D111" i="1"/>
  <c r="D112" i="1" a="1"/>
  <c r="D112" i="1"/>
  <c r="D113" i="1" a="1"/>
  <c r="D113" i="1"/>
  <c r="D114" i="1" a="1"/>
  <c r="D114" i="1"/>
  <c r="D115" i="1" a="1"/>
  <c r="D115" i="1"/>
  <c r="D116" i="1" a="1"/>
  <c r="D116" i="1"/>
  <c r="D117" i="1" a="1"/>
  <c r="D117" i="1"/>
  <c r="D118" i="1" a="1"/>
  <c r="D118" i="1"/>
  <c r="D119" i="1" a="1"/>
  <c r="D119" i="1"/>
  <c r="D120" i="1" a="1"/>
  <c r="D120" i="1"/>
  <c r="D121" i="1" a="1"/>
  <c r="D121" i="1"/>
  <c r="D122" i="1" a="1"/>
  <c r="D122" i="1"/>
  <c r="D123" i="1" a="1"/>
  <c r="D123" i="1"/>
  <c r="D124" i="1" a="1"/>
  <c r="D124" i="1"/>
  <c r="D125" i="1" a="1"/>
  <c r="D125" i="1"/>
  <c r="D126" i="1" a="1"/>
  <c r="D126" i="1"/>
  <c r="D127" i="1" a="1"/>
  <c r="D127" i="1"/>
  <c r="D128" i="1" a="1"/>
  <c r="D128" i="1"/>
  <c r="D129" i="1" a="1"/>
  <c r="D129" i="1"/>
  <c r="D130" i="1" a="1"/>
  <c r="D130" i="1"/>
  <c r="D131" i="1" a="1"/>
  <c r="D131" i="1"/>
  <c r="D132" i="1" a="1"/>
  <c r="D132" i="1"/>
  <c r="D133" i="1" a="1"/>
  <c r="D133" i="1"/>
  <c r="D134" i="1" a="1"/>
  <c r="D134" i="1"/>
  <c r="D135" i="1" a="1"/>
  <c r="D135" i="1"/>
  <c r="D136" i="1" a="1"/>
  <c r="D136" i="1"/>
  <c r="D137" i="1" a="1"/>
  <c r="D137" i="1"/>
  <c r="D138" i="1" a="1"/>
  <c r="D138" i="1"/>
  <c r="D139" i="1" a="1"/>
  <c r="D139" i="1"/>
  <c r="D140" i="1" a="1"/>
  <c r="D140" i="1"/>
  <c r="D141" i="1" a="1"/>
  <c r="D141" i="1"/>
  <c r="D142" i="1" a="1"/>
  <c r="D142" i="1"/>
  <c r="D143" i="1" a="1"/>
  <c r="D143" i="1"/>
  <c r="D144" i="1" a="1"/>
  <c r="D144" i="1"/>
  <c r="D145" i="1" a="1"/>
  <c r="D145" i="1"/>
  <c r="D146" i="1" a="1"/>
  <c r="D146" i="1"/>
  <c r="D147" i="1" a="1"/>
  <c r="D147" i="1"/>
  <c r="D148" i="1" a="1"/>
  <c r="D148" i="1"/>
  <c r="D149" i="1" a="1"/>
  <c r="D149" i="1"/>
  <c r="D150" i="1" a="1"/>
  <c r="D150" i="1"/>
  <c r="D151" i="1" a="1"/>
  <c r="D151" i="1"/>
  <c r="D152" i="1" a="1"/>
  <c r="D152" i="1"/>
  <c r="D153" i="1" a="1"/>
  <c r="D153" i="1"/>
  <c r="D154" i="1" a="1"/>
  <c r="D154" i="1"/>
  <c r="D155" i="1" a="1"/>
  <c r="D155" i="1"/>
  <c r="D156" i="1" a="1"/>
  <c r="D156" i="1"/>
  <c r="H2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3" i="1"/>
  <c r="H3" i="1" s="1"/>
  <c r="G4" i="1"/>
  <c r="H4" i="1" s="1"/>
  <c r="G5" i="1"/>
  <c r="H5" i="1" s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2" i="1"/>
  <c r="D2" i="1" a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2" i="1"/>
  <c r="A155" i="1"/>
  <c r="A156" i="1"/>
  <c r="A152" i="1"/>
  <c r="A153" i="1"/>
  <c r="A154" i="1"/>
  <c r="A148" i="1"/>
  <c r="A149" i="1"/>
  <c r="A150" i="1"/>
  <c r="A151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  <c r="P22" i="2"/>
  <c r="M54" i="2"/>
  <c r="J8" i="2"/>
  <c r="Q6" i="3"/>
  <c r="O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<sst xmlns="http://schemas.openxmlformats.org/spreadsheetml/2006/main" count="60" uniqueCount="26">
  <si>
    <t>Soma de total venda dia</t>
  </si>
  <si>
    <t>produto</t>
  </si>
  <si>
    <t>data das vendas</t>
  </si>
  <si>
    <t>Caderno</t>
  </si>
  <si>
    <t>Caneta</t>
  </si>
  <si>
    <t>Monitor</t>
  </si>
  <si>
    <t>Mouse</t>
  </si>
  <si>
    <t>Teclado</t>
  </si>
  <si>
    <t>Total Geral</t>
  </si>
  <si>
    <t>tipo dia</t>
  </si>
  <si>
    <t>não útil</t>
  </si>
  <si>
    <t>Média de total venda dia</t>
  </si>
  <si>
    <t>útil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</si>
  <si>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</si>
  <si>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</si>
  <si>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</si>
  <si>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</si>
  <si>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</si>
  <si>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</si>
  <si>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</si>
  <si>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Soma de quantidade</t>
  </si>
  <si>
    <t>sábado</t>
  </si>
  <si>
    <t>categoria</t>
  </si>
  <si>
    <t>quantidade</t>
  </si>
  <si>
    <t>preco unitario</t>
  </si>
  <si>
    <t>total venda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</si>
</sst>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d/m/yy;@"/>
    <numFmt numFmtId="165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2" tint="-0.74999237037263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4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/>
    <xf numFmtId="0" fontId="0" fillId="0" borderId="0" xfId="0" pivotButton="1"/>
    <xf numFmtId="0" fontId="1" fillId="2" borderId="2" xfId="1" applyFill="1" applyBorder="1"/>
    <xf numFmtId="0" fontId="2" fillId="3" borderId="0" xfId="0" applyFont="1" applyFill="1"/>
    <xf numFmtId="0" fontId="3" fillId="3" borderId="0" xfId="0" applyFont="1" applyFill="1"/>
    <xf numFmtId="44" fontId="0" fillId="0" borderId="0" xfId="2" applyFont="1"/>
    <xf numFmtId="14" fontId="0" fillId="0" borderId="0" xfId="0" applyNumberFormat="1"/>
  </cellXfs>
  <cellStyles count="3">
    <cellStyle name="Moeda" xfId="2" builtinId="4"/>
    <cellStyle name="Normal" xfId="0" builtinId="0"/>
    <cellStyle name="Total" xfId="1" builtinId="25"/>
  </cellStyles>
  <dxfs count="11"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4" formatCode="d/m/yy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d/m/yy;@"/>
    </dxf>
    <dxf>
      <numFmt numFmtId="164" formatCode="d/m/yy;@"/>
    </dxf>
    <dxf>
      <border outline="0">
        <top style="thin">
          <color theme="4"/>
        </top>
      </border>
    </dxf>
    <dxf>
      <border outline="0">
        <bottom style="double">
          <color theme="4"/>
        </bottom>
      </border>
    </dxf>
    <dxf>
      <fill>
        <patternFill patternType="solid">
          <fgColor indexed="64"/>
          <bgColor theme="4" tint="0.39997558519241921"/>
        </patternFill>
      </fill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b/>
        <i val="0"/>
        <sz val="22"/>
      </font>
      <fill>
        <patternFill>
          <fgColor rgb="FF333F4F"/>
          <bgColor rgb="FF333F4F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Medium9">
    <tableStyle name="SlicerStyleDark2 2" pivot="0" table="0" count="10" xr9:uid="{0EE60986-D6AC-43AE-8059-75C7C197D0A5}">
      <tableStyleElement type="wholeTable" dxfId="10"/>
      <tableStyleElement type="headerRow" dxfId="9"/>
    </tableStyle>
  </tableStyles>
  <colors>
    <mruColors>
      <color rgb="FFFF6600"/>
      <color rgb="FFFF3300"/>
      <color rgb="FF333F4F"/>
      <color rgb="FF33FFFF"/>
      <color rgb="FFFF9900"/>
      <color rgb="FFFFCC00"/>
      <color rgb="FF3A3838"/>
      <color rgb="FF083E6A"/>
      <color rgb="FFF9C87F"/>
      <color rgb="FFFACE8E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rgb="FFFF6600"/>
              <bgColor rgb="FFFF660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6600"/>
              <bgColor rgb="FFFF330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6600"/>
              <bgColor rgb="FFFF330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6600"/>
              <bgColor rgb="FFFF660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333F4F"/>
              <bgColor rgb="FFFF6600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5"/>
              <bgColor rgb="FFFF6600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6600"/>
              <bgColor rgb="FF333F4F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[Dashboard-Sales.xlsx]Planilha1!Tabela dinâmica1</c:name>
    <c:fmtId val="4"/>
  </c:pivotSource>
  <c:chart>
    <c:autoTitleDeleted val="1"/>
    <c:pivotFmts>
      <c:pivotFmt>
        <c:idx val="0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38100" dist="50800" dir="2700000" algn="tl" rotWithShape="0">
              <a:prstClr val="black">
                <a:alpha val="6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alpha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38100" dist="50800" dir="2700000" algn="tl" rotWithShape="0">
              <a:prstClr val="black">
                <a:alpha val="65000"/>
              </a:prstClr>
            </a:outerShdw>
          </a:effectLst>
        </c:spPr>
        <c:dLbl>
          <c:idx val="0"/>
          <c:layout>
            <c:manualLayout>
              <c:x val="-7.1554072764857821E-3"/>
              <c:y val="2.35155660085641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alpha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38100" dist="50800" dir="2700000" algn="tl" rotWithShape="0">
              <a:prstClr val="black">
                <a:alpha val="6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3126028418730859"/>
          <c:y val="0.11542965501502711"/>
          <c:w val="0.38826930624010225"/>
          <c:h val="0.88063951217059344"/>
        </c:manualLayout>
      </c:layout>
      <c:doughnutChart>
        <c:varyColors val="1"/>
        <c:ser>
          <c:idx val="0"/>
          <c:order val="0"/>
          <c:tx>
            <c:strRef>
              <c:f>Planilha1!$J$12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38100" dist="50800" dir="2700000" algn="tl" rotWithShape="0">
                <a:prstClr val="black">
                  <a:alpha val="65000"/>
                </a:prstClr>
              </a:outerShdw>
            </a:effectLst>
          </c:spPr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50800" dir="2700000" algn="tl" rotWithShape="0">
                  <a:prstClr val="black">
                    <a:alpha val="6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00-4A9B-AB3F-CF3EF966C4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38100" dist="50800" dir="2700000" algn="tl" rotWithShape="0">
                  <a:prstClr val="black">
                    <a:alpha val="6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00-4A9B-AB3F-CF3EF966C449}"/>
              </c:ext>
            </c:extLst>
          </c:dPt>
          <c:dLbls>
            <c:dLbl>
              <c:idx val="0"/>
              <c:layout>
                <c:manualLayout>
                  <c:x val="-7.1554072764857821E-3"/>
                  <c:y val="2.35155660085641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>
                          <a:alpha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00-4A9B-AB3F-CF3EF966C4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alpha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Planilha1!$I$13:$I$15</c:f>
              <c:strCache>
                <c:ptCount val="2"/>
                <c:pt idx="0">
                  <c:v>não útil</c:v>
                </c:pt>
                <c:pt idx="1">
                  <c:v>útil</c:v>
                </c:pt>
              </c:strCache>
            </c:strRef>
          </c:cat>
          <c:val>
            <c:numRef>
              <c:f>Planilha1!$J$13:$J$15</c:f>
              <c:numCache>
                <c:formatCode>_-[$R$-416]\ * #,##0.00_-;\-[$R$-416]\ * #,##0.00_-;_-[$R$-416]\ * "-"??_-;_-@_-</c:formatCode>
                <c:ptCount val="2"/>
                <c:pt idx="0">
                  <c:v>4333</c:v>
                </c:pt>
                <c:pt idx="1">
                  <c:v>9285.0000000000018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00-4A9B-AB3F-CF3EF966C4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1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30225507619694"/>
          <c:y val="0.37110565398674505"/>
          <c:w val="0.15487029480111217"/>
          <c:h val="0.234877338727317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>
                  <a:alpha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 b="1">
          <a:solidFill>
            <a:schemeClr val="bg1">
              <a:alpha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00720963108056E-2"/>
          <c:y val="0.12820512820512819"/>
          <c:w val="0.93665936087885926"/>
          <c:h val="0.6550640016151827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0"/>
                    <a:lumOff val="100000"/>
                  </a:schemeClr>
                </a:gs>
                <a:gs pos="35000">
                  <a:schemeClr val="accent2">
                    <a:lumMod val="0"/>
                    <a:lumOff val="100000"/>
                  </a:schemeClr>
                </a:gs>
                <a:gs pos="100000">
                  <a:schemeClr val="accent2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>
              <a:outerShdw blurRad="25400" dist="50800" dir="2700000" algn="tl" rotWithShape="0">
                <a:prstClr val="black">
                  <a:alpha val="6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Planilha1!$P$15:$P$21</c:f>
              <c:strCache>
                <c:ptCount val="7"/>
                <c:pt idx="0">
                  <c:v> domingo </c:v>
                </c:pt>
                <c:pt idx="1">
                  <c:v>segunda-feira</c:v>
                </c:pt>
                <c:pt idx="2">
                  <c:v>terça-feira</c:v>
                </c:pt>
                <c:pt idx="3">
                  <c:v>quarta-feira</c:v>
                </c:pt>
                <c:pt idx="4">
                  <c:v>quinta-feira</c:v>
                </c:pt>
                <c:pt idx="5">
                  <c:v>sexta-feira</c:v>
                </c:pt>
                <c:pt idx="6">
                  <c:v>sábado</c:v>
                </c:pt>
              </c:strCache>
            </c:strRef>
          </c:cat>
          <c:val>
            <c:numRef>
              <c:f>Planilha1!$Q$15:$Q$21</c:f>
              <c:numCache>
                <c:formatCode>_("R$"* #,##0.00_);_("R$"* \(#,##0.00\);_("R$"* "-"??_);_(@_)</c:formatCode>
                <c:ptCount val="7"/>
                <c:pt idx="0">
                  <c:v>458.05999999999995</c:v>
                </c:pt>
                <c:pt idx="1">
                  <c:v>396.16</c:v>
                </c:pt>
                <c:pt idx="2">
                  <c:v>396.16</c:v>
                </c:pt>
                <c:pt idx="3">
                  <c:v>510.67500000000001</c:v>
                </c:pt>
                <c:pt idx="4">
                  <c:v>309.5</c:v>
                </c:pt>
                <c:pt idx="5">
                  <c:v>510.67500000000001</c:v>
                </c:pt>
                <c:pt idx="6">
                  <c:v>510.67500000000001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5-4B68-83B8-44F5150E8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64097999"/>
        <c:axId val="1064102799"/>
      </c:barChart>
      <c:catAx>
        <c:axId val="106409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4102799"/>
        <c:crosses val="autoZero"/>
        <c:auto val="1"/>
        <c:lblAlgn val="ctr"/>
        <c:lblOffset val="100"/>
        <c:noMultiLvlLbl val="0"/>
      </c:catAx>
      <c:valAx>
        <c:axId val="106410279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6409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901387709489361E-2"/>
          <c:y val="0.1936710298107511"/>
          <c:w val="0.91179991944694261"/>
          <c:h val="0.57165093771380782"/>
        </c:manualLayout>
      </c:layout>
      <c:areaChart>
        <c:grouping val="standard"/>
        <c:varyColors val="0"/>
        <c:ser>
          <c:idx val="0"/>
          <c:order val="0"/>
          <c:spPr>
            <a:gradFill flip="none" rotWithShape="1">
              <a:gsLst>
                <a:gs pos="0">
                  <a:srgbClr val="F9C87F"/>
                </a:gs>
                <a:gs pos="100000">
                  <a:schemeClr val="accent2">
                    <a:lumMod val="10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solidFill>
                <a:schemeClr val="accent1"/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Planilha1!$J$55:$J$85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Planilha1!$K$55:$K$85</c:f>
              <c:numCache>
                <c:formatCode>General</c:formatCode>
                <c:ptCount val="31"/>
                <c:pt idx="0">
                  <c:v>8</c:v>
                </c:pt>
                <c:pt idx="1">
                  <c:v>9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9</c:v>
                </c:pt>
                <c:pt idx="10">
                  <c:v>10</c:v>
                </c:pt>
                <c:pt idx="11">
                  <c:v>4</c:v>
                </c:pt>
                <c:pt idx="12">
                  <c:v>7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9</c:v>
                </c:pt>
                <c:pt idx="17">
                  <c:v>8</c:v>
                </c:pt>
                <c:pt idx="18">
                  <c:v>4</c:v>
                </c:pt>
                <c:pt idx="19">
                  <c:v>6</c:v>
                </c:pt>
                <c:pt idx="20">
                  <c:v>10</c:v>
                </c:pt>
                <c:pt idx="21">
                  <c:v>9</c:v>
                </c:pt>
                <c:pt idx="22">
                  <c:v>7</c:v>
                </c:pt>
                <c:pt idx="23">
                  <c:v>5</c:v>
                </c:pt>
                <c:pt idx="24">
                  <c:v>9</c:v>
                </c:pt>
                <c:pt idx="25">
                  <c:v>5</c:v>
                </c:pt>
                <c:pt idx="26">
                  <c:v>10</c:v>
                </c:pt>
                <c:pt idx="27">
                  <c:v>10</c:v>
                </c:pt>
                <c:pt idx="28">
                  <c:v>7</c:v>
                </c:pt>
                <c:pt idx="29">
                  <c:v>5</c:v>
                </c:pt>
                <c:pt idx="3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1-4EF2-B113-BDB95DB159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>
              <a:outerShdw blurRad="25400" dist="50800" dir="5400000" algn="t" rotWithShape="0">
                <a:prstClr val="black">
                  <a:alpha val="65000"/>
                </a:prstClr>
              </a:outerShdw>
            </a:effectLst>
          </c:spPr>
        </c:dropLines>
        <c:axId val="920168672"/>
        <c:axId val="920169632"/>
      </c:areaChart>
      <c:dateAx>
        <c:axId val="920168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169632"/>
        <c:crosses val="autoZero"/>
        <c:auto val="0"/>
        <c:lblOffset val="100"/>
        <c:baseTimeUnit val="days"/>
        <c:majorUnit val="2"/>
        <c:majorTimeUnit val="days"/>
      </c:dateAx>
      <c:valAx>
        <c:axId val="9201696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2016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 i="0" u="none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381000</xdr:colOff>
      <xdr:row>1</xdr:row>
      <xdr:rowOff>123825</xdr:rowOff>
    </xdr:from>
    <xdr:to>
      <xdr:col>17</xdr:col>
      <xdr:colOff>295275</xdr:colOff>
      <xdr:row>11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to">
              <a:extLst>
                <a:ext uri="{FF2B5EF4-FFF2-40B4-BE49-F238E27FC236}">
                  <a16:creationId xmlns:a16="http://schemas.microsoft.com/office/drawing/2014/main" id="{5B3B5772-AAAA-1D4C-B0C0-AE7C3435EB7A}"/>
                </a:ext>
                <a:ext uri="{147F2762-F138-4A5C-976F-8EAC2B608ADB}">
                  <a16:predDERef xmlns:a16="http://schemas.microsoft.com/office/drawing/2014/main" pred="{B8754CCD-FE2D-C8DC-9E7A-2034C9BD58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59350" y="200025"/>
              <a:ext cx="72390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119062</xdr:colOff>
      <xdr:row>0</xdr:row>
      <xdr:rowOff>30618</xdr:rowOff>
    </xdr:from>
    <xdr:to>
      <xdr:col>38</xdr:col>
      <xdr:colOff>95249</xdr:colOff>
      <xdr:row>11</xdr:row>
      <xdr:rowOff>83344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18EF160D-9CA9-1F8C-FACD-1AA1E65C0585}"/>
            </a:ext>
          </a:extLst>
        </xdr:cNvPr>
        <xdr:cNvGrpSpPr/>
      </xdr:nvGrpSpPr>
      <xdr:grpSpPr>
        <a:xfrm>
          <a:off x="1952625" y="30618"/>
          <a:ext cx="4738687" cy="2148226"/>
          <a:chOff x="2012157" y="30618"/>
          <a:chExt cx="4738688" cy="2303008"/>
        </a:xfrm>
      </xdr:grpSpPr>
      <xdr:sp macro="" textlink="">
        <xdr:nvSpPr>
          <xdr:cNvPr id="13" name="Retângulo Arredondado 5">
            <a:extLst>
              <a:ext uri="{FF2B5EF4-FFF2-40B4-BE49-F238E27FC236}">
                <a16:creationId xmlns:a16="http://schemas.microsoft.com/office/drawing/2014/main" id="{9AC79CB2-7FC7-457E-9A8F-0479F415A0C4}"/>
              </a:ext>
              <a:ext uri="{147F2762-F138-4A5C-976F-8EAC2B608ADB}">
                <a16:predDERef xmlns:a16="http://schemas.microsoft.com/office/drawing/2014/main" pred="{84A60AA5-DFD7-4FF4-A240-D6B0BC581461}"/>
              </a:ext>
            </a:extLst>
          </xdr:cNvPr>
          <xdr:cNvSpPr/>
        </xdr:nvSpPr>
        <xdr:spPr>
          <a:xfrm>
            <a:off x="2012157" y="30618"/>
            <a:ext cx="4738688" cy="2303008"/>
          </a:xfrm>
          <a:prstGeom prst="roundRect">
            <a:avLst>
              <a:gd name="adj" fmla="val 5556"/>
            </a:avLst>
          </a:prstGeom>
          <a:solidFill>
            <a:schemeClr val="bg1">
              <a:alpha val="15000"/>
            </a:schemeClr>
          </a:solidFill>
          <a:ln>
            <a:solidFill>
              <a:schemeClr val="bg1"/>
            </a:solidFill>
          </a:ln>
          <a:effectLst>
            <a:outerShdw blurRad="38100" dist="63500" dir="2700000" algn="tl" rotWithShape="0">
              <a:prstClr val="black">
                <a:alpha val="6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EF0E8512-44F5-42DE-A332-788942D7F53C}"/>
              </a:ext>
              <a:ext uri="{147F2762-F138-4A5C-976F-8EAC2B608ADB}">
                <a16:predDERef xmlns:a16="http://schemas.microsoft.com/office/drawing/2014/main" pred="{29EF4AAE-CFBF-4D26-8091-6E7D8D76D63E}"/>
              </a:ext>
            </a:extLst>
          </xdr:cNvPr>
          <xdr:cNvGraphicFramePr>
            <a:graphicFrameLocks/>
          </xdr:cNvGraphicFramePr>
        </xdr:nvGraphicFramePr>
        <xdr:xfrm>
          <a:off x="2012157" y="116340"/>
          <a:ext cx="4691062" cy="22172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12</xdr:col>
      <xdr:colOff>42862</xdr:colOff>
      <xdr:row>38</xdr:row>
      <xdr:rowOff>1</xdr:rowOff>
    </xdr:from>
    <xdr:to>
      <xdr:col>36</xdr:col>
      <xdr:colOff>82967</xdr:colOff>
      <xdr:row>47</xdr:row>
      <xdr:rowOff>50133</xdr:rowOff>
    </xdr:to>
    <xdr:sp macro="" textlink="">
      <xdr:nvSpPr>
        <xdr:cNvPr id="10" name="Retângulo Arredondado 5">
          <a:extLst>
            <a:ext uri="{FF2B5EF4-FFF2-40B4-BE49-F238E27FC236}">
              <a16:creationId xmlns:a16="http://schemas.microsoft.com/office/drawing/2014/main" id="{EB1544B9-446D-44C4-94CD-B32AB975F1A2}"/>
            </a:ext>
            <a:ext uri="{147F2762-F138-4A5C-976F-8EAC2B608ADB}">
              <a16:predDERef xmlns:a16="http://schemas.microsoft.com/office/drawing/2014/main" pred="{84A60AA5-DFD7-4FF4-A240-D6B0BC581461}"/>
            </a:ext>
          </a:extLst>
        </xdr:cNvPr>
        <xdr:cNvSpPr/>
      </xdr:nvSpPr>
      <xdr:spPr>
        <a:xfrm>
          <a:off x="2043112" y="7239001"/>
          <a:ext cx="4040605" cy="1764632"/>
        </a:xfrm>
        <a:prstGeom prst="roundRect">
          <a:avLst>
            <a:gd name="adj" fmla="val 5556"/>
          </a:avLst>
        </a:prstGeom>
        <a:solidFill>
          <a:schemeClr val="bg1">
            <a:alpha val="15000"/>
          </a:schemeClr>
        </a:solidFill>
        <a:ln>
          <a:solidFill>
            <a:schemeClr val="bg1"/>
          </a:solidFill>
        </a:ln>
        <a:effectLst>
          <a:outerShdw blurRad="38100" dist="63500" dir="2700000" algn="tl" rotWithShape="0">
            <a:prstClr val="black">
              <a:alpha val="6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oneCellAnchor>
    <xdr:from>
      <xdr:col>23</xdr:col>
      <xdr:colOff>95250</xdr:colOff>
      <xdr:row>8</xdr:row>
      <xdr:rowOff>54429</xdr:rowOff>
    </xdr:from>
    <xdr:ext cx="470481" cy="789214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ADF9FFF4-4416-C4FF-C947-85F55B82D307}"/>
            </a:ext>
          </a:extLst>
        </xdr:cNvPr>
        <xdr:cNvSpPr txBox="1"/>
      </xdr:nvSpPr>
      <xdr:spPr>
        <a:xfrm>
          <a:off x="4163786" y="1578429"/>
          <a:ext cx="470481" cy="789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39</xdr:col>
      <xdr:colOff>71437</xdr:colOff>
      <xdr:row>0</xdr:row>
      <xdr:rowOff>35719</xdr:rowOff>
    </xdr:from>
    <xdr:to>
      <xdr:col>92</xdr:col>
      <xdr:colOff>154781</xdr:colOff>
      <xdr:row>12</xdr:row>
      <xdr:rowOff>107156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F8698528-3E20-9447-7058-5072E71547ED}"/>
            </a:ext>
          </a:extLst>
        </xdr:cNvPr>
        <xdr:cNvGrpSpPr/>
      </xdr:nvGrpSpPr>
      <xdr:grpSpPr>
        <a:xfrm>
          <a:off x="6834187" y="35719"/>
          <a:ext cx="8846344" cy="2357437"/>
          <a:chOff x="6917531" y="35719"/>
          <a:chExt cx="5667375" cy="2559843"/>
        </a:xfrm>
      </xdr:grpSpPr>
      <xdr:sp macro="" textlink="">
        <xdr:nvSpPr>
          <xdr:cNvPr id="9" name="Retângulo Arredondado 5">
            <a:extLst>
              <a:ext uri="{FF2B5EF4-FFF2-40B4-BE49-F238E27FC236}">
                <a16:creationId xmlns:a16="http://schemas.microsoft.com/office/drawing/2014/main" id="{8E4B65F6-EC52-4A4F-BCAC-9E6C86E072E9}"/>
              </a:ext>
              <a:ext uri="{147F2762-F138-4A5C-976F-8EAC2B608ADB}">
                <a16:predDERef xmlns:a16="http://schemas.microsoft.com/office/drawing/2014/main" pred="{84A60AA5-DFD7-4FF4-A240-D6B0BC581461}"/>
              </a:ext>
            </a:extLst>
          </xdr:cNvPr>
          <xdr:cNvSpPr/>
        </xdr:nvSpPr>
        <xdr:spPr>
          <a:xfrm>
            <a:off x="6917531" y="35719"/>
            <a:ext cx="5667375" cy="2297906"/>
          </a:xfrm>
          <a:prstGeom prst="roundRect">
            <a:avLst>
              <a:gd name="adj" fmla="val 5556"/>
            </a:avLst>
          </a:prstGeom>
          <a:solidFill>
            <a:schemeClr val="bg1">
              <a:alpha val="15000"/>
            </a:schemeClr>
          </a:solidFill>
          <a:ln>
            <a:solidFill>
              <a:schemeClr val="bg1"/>
            </a:solidFill>
          </a:ln>
          <a:effectLst>
            <a:outerShdw blurRad="38100" dist="63500" dir="2700000" algn="tl" rotWithShape="0">
              <a:prstClr val="black">
                <a:alpha val="6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74C6FD58-02B9-495E-85DE-E6020F833709}"/>
              </a:ext>
            </a:extLst>
          </xdr:cNvPr>
          <xdr:cNvGraphicFramePr>
            <a:graphicFrameLocks/>
          </xdr:cNvGraphicFramePr>
        </xdr:nvGraphicFramePr>
        <xdr:xfrm>
          <a:off x="6929438" y="119062"/>
          <a:ext cx="5643561" cy="2476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15</xdr:col>
      <xdr:colOff>23812</xdr:colOff>
      <xdr:row>11</xdr:row>
      <xdr:rowOff>130968</xdr:rowOff>
    </xdr:from>
    <xdr:to>
      <xdr:col>35</xdr:col>
      <xdr:colOff>85125</xdr:colOff>
      <xdr:row>28</xdr:row>
      <xdr:rowOff>35717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produto 1">
              <a:extLst>
                <a:ext uri="{FF2B5EF4-FFF2-40B4-BE49-F238E27FC236}">
                  <a16:creationId xmlns:a16="http://schemas.microsoft.com/office/drawing/2014/main" id="{9116BD92-E5A4-4187-9936-7560497E62E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4125" y="2226468"/>
              <a:ext cx="3657000" cy="3143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39</xdr:col>
      <xdr:colOff>71437</xdr:colOff>
      <xdr:row>8</xdr:row>
      <xdr:rowOff>38800</xdr:rowOff>
    </xdr:from>
    <xdr:to>
      <xdr:col>92</xdr:col>
      <xdr:colOff>154781</xdr:colOff>
      <xdr:row>27</xdr:row>
      <xdr:rowOff>130968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DD8F3FD4-E45A-A7F8-21DE-E8EB7F8AD02F}"/>
            </a:ext>
          </a:extLst>
        </xdr:cNvPr>
        <xdr:cNvGrpSpPr/>
      </xdr:nvGrpSpPr>
      <xdr:grpSpPr>
        <a:xfrm>
          <a:off x="6834187" y="1562800"/>
          <a:ext cx="8846344" cy="3711668"/>
          <a:chOff x="4476749" y="1809750"/>
          <a:chExt cx="8122071" cy="3469822"/>
        </a:xfrm>
      </xdr:grpSpPr>
      <xdr:sp macro="" textlink="">
        <xdr:nvSpPr>
          <xdr:cNvPr id="12" name="Retângulo Arredondado 5">
            <a:extLst>
              <a:ext uri="{FF2B5EF4-FFF2-40B4-BE49-F238E27FC236}">
                <a16:creationId xmlns:a16="http://schemas.microsoft.com/office/drawing/2014/main" id="{1DA8B4B6-150B-4587-89F2-30CD1A77FCFA}"/>
              </a:ext>
              <a:ext uri="{147F2762-F138-4A5C-976F-8EAC2B608ADB}">
                <a16:predDERef xmlns:a16="http://schemas.microsoft.com/office/drawing/2014/main" pred="{84A60AA5-DFD7-4FF4-A240-D6B0BC581461}"/>
              </a:ext>
            </a:extLst>
          </xdr:cNvPr>
          <xdr:cNvSpPr/>
        </xdr:nvSpPr>
        <xdr:spPr>
          <a:xfrm>
            <a:off x="4476749" y="2440780"/>
            <a:ext cx="8122071" cy="2667001"/>
          </a:xfrm>
          <a:prstGeom prst="roundRect">
            <a:avLst>
              <a:gd name="adj" fmla="val 5556"/>
            </a:avLst>
          </a:prstGeom>
          <a:solidFill>
            <a:schemeClr val="bg1">
              <a:alpha val="15000"/>
            </a:schemeClr>
          </a:solidFill>
          <a:ln>
            <a:solidFill>
              <a:schemeClr val="bg1"/>
            </a:solidFill>
          </a:ln>
          <a:effectLst>
            <a:outerShdw blurRad="38100" dist="63500" dir="2700000" algn="tl" rotWithShape="0">
              <a:prstClr val="black">
                <a:alpha val="6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A3538D59-338D-481F-92A5-3AC49D5819B7}"/>
              </a:ext>
            </a:extLst>
          </xdr:cNvPr>
          <xdr:cNvGraphicFramePr>
            <a:graphicFrameLocks/>
          </xdr:cNvGraphicFramePr>
        </xdr:nvGraphicFramePr>
        <xdr:xfrm>
          <a:off x="4561806" y="1809750"/>
          <a:ext cx="7854094" cy="34698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0</xdr:col>
      <xdr:colOff>47625</xdr:colOff>
      <xdr:row>0</xdr:row>
      <xdr:rowOff>51366</xdr:rowOff>
    </xdr:from>
    <xdr:to>
      <xdr:col>11</xdr:col>
      <xdr:colOff>27203</xdr:colOff>
      <xdr:row>26</xdr:row>
      <xdr:rowOff>148159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32250A63-F710-B41B-980A-EB182B5692CE}"/>
            </a:ext>
          </a:extLst>
        </xdr:cNvPr>
        <xdr:cNvGrpSpPr/>
      </xdr:nvGrpSpPr>
      <xdr:grpSpPr>
        <a:xfrm>
          <a:off x="47625" y="51366"/>
          <a:ext cx="1813141" cy="5049793"/>
          <a:chOff x="36398" y="68036"/>
          <a:chExt cx="1812454" cy="4966608"/>
        </a:xfrm>
      </xdr:grpSpPr>
      <xdr:sp macro="" textlink="">
        <xdr:nvSpPr>
          <xdr:cNvPr id="6" name="Retângulo Arredondado 5">
            <a:extLst>
              <a:ext uri="{FF2B5EF4-FFF2-40B4-BE49-F238E27FC236}">
                <a16:creationId xmlns:a16="http://schemas.microsoft.com/office/drawing/2014/main" id="{283C697D-6F8F-46F1-FB01-3CD993787F12}"/>
              </a:ext>
              <a:ext uri="{147F2762-F138-4A5C-976F-8EAC2B608ADB}">
                <a16:predDERef xmlns:a16="http://schemas.microsoft.com/office/drawing/2014/main" pred="{84A60AA5-DFD7-4FF4-A240-D6B0BC581461}"/>
              </a:ext>
            </a:extLst>
          </xdr:cNvPr>
          <xdr:cNvSpPr/>
        </xdr:nvSpPr>
        <xdr:spPr>
          <a:xfrm>
            <a:off x="81643" y="68036"/>
            <a:ext cx="1734910" cy="4966608"/>
          </a:xfrm>
          <a:prstGeom prst="roundRect">
            <a:avLst>
              <a:gd name="adj" fmla="val 5556"/>
            </a:avLst>
          </a:prstGeom>
          <a:solidFill>
            <a:schemeClr val="bg1">
              <a:alpha val="15000"/>
            </a:schemeClr>
          </a:solidFill>
          <a:ln>
            <a:solidFill>
              <a:schemeClr val="bg1"/>
            </a:solidFill>
          </a:ln>
          <a:effectLst>
            <a:outerShdw blurRad="38100" dist="63500" dir="2700000" algn="tl" rotWithShape="0">
              <a:prstClr val="black">
                <a:alpha val="6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60FE14C5-89B6-1C1F-3D37-D6FE766F7CE3}"/>
              </a:ext>
            </a:extLst>
          </xdr:cNvPr>
          <xdr:cNvSpPr txBox="1"/>
        </xdr:nvSpPr>
        <xdr:spPr>
          <a:xfrm>
            <a:off x="36398" y="442689"/>
            <a:ext cx="1732513" cy="598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Total Vendas</a:t>
            </a:r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22ED2A76-04EA-4968-B555-FA04DD16C29E}"/>
              </a:ext>
            </a:extLst>
          </xdr:cNvPr>
          <xdr:cNvSpPr txBox="1"/>
        </xdr:nvSpPr>
        <xdr:spPr>
          <a:xfrm>
            <a:off x="88430" y="1514357"/>
            <a:ext cx="1737632" cy="827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Quantidade Total</a:t>
            </a:r>
          </a:p>
        </xdr:txBody>
      </xdr:sp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id="{BF876941-9B67-4E4A-9FD6-AC1178A39666}"/>
              </a:ext>
            </a:extLst>
          </xdr:cNvPr>
          <xdr:cNvSpPr txBox="1"/>
        </xdr:nvSpPr>
        <xdr:spPr>
          <a:xfrm>
            <a:off x="76865" y="2905251"/>
            <a:ext cx="1771987" cy="9323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Dia com maior média</a:t>
            </a:r>
          </a:p>
        </xdr:txBody>
      </xdr:sp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A1A6C890-670E-46AC-8CD1-D7E412241F17}"/>
              </a:ext>
            </a:extLst>
          </xdr:cNvPr>
          <xdr:cNvSpPr txBox="1"/>
        </xdr:nvSpPr>
        <xdr:spPr>
          <a:xfrm>
            <a:off x="125186" y="4313631"/>
            <a:ext cx="1704974" cy="598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Ticket</a:t>
            </a:r>
            <a:r>
              <a:rPr lang="pt-BR" sz="2000" b="1" baseline="0">
                <a:solidFill>
                  <a:schemeClr val="bg1"/>
                </a:solidFill>
              </a:rPr>
              <a:t> </a:t>
            </a:r>
            <a:r>
              <a:rPr lang="pt-BR" sz="2000" b="1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Médio</a:t>
            </a:r>
          </a:p>
        </xdr:txBody>
      </xdr:sp>
      <xdr:sp macro="" textlink="Planilha1!J8">
        <xdr:nvSpPr>
          <xdr:cNvPr id="20" name="CaixaDeTexto 19">
            <a:extLst>
              <a:ext uri="{FF2B5EF4-FFF2-40B4-BE49-F238E27FC236}">
                <a16:creationId xmlns:a16="http://schemas.microsoft.com/office/drawing/2014/main" id="{F3806E02-A536-440C-8D38-FAE9673D8379}"/>
              </a:ext>
            </a:extLst>
          </xdr:cNvPr>
          <xdr:cNvSpPr txBox="1"/>
        </xdr:nvSpPr>
        <xdr:spPr>
          <a:xfrm>
            <a:off x="54427" y="108509"/>
            <a:ext cx="1643742" cy="598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D2A5B36-802B-4E83-9E76-4901384F3DD7}" type="TxLink">
              <a:rPr lang="en-US" sz="18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 R$ 13.618,00 </a:t>
            </a:fld>
            <a:endParaRPr lang="pt-BR" sz="2800" b="0" baseline="0">
              <a:solidFill>
                <a:schemeClr val="bg1"/>
              </a:solidFill>
            </a:endParaRPr>
          </a:p>
        </xdr:txBody>
      </xdr:sp>
      <xdr:sp macro="" textlink="Planilha1!M54">
        <xdr:nvSpPr>
          <xdr:cNvPr id="21" name="CaixaDeTexto 20">
            <a:extLst>
              <a:ext uri="{FF2B5EF4-FFF2-40B4-BE49-F238E27FC236}">
                <a16:creationId xmlns:a16="http://schemas.microsoft.com/office/drawing/2014/main" id="{1A13D166-9870-467E-92D8-5C1E8C5E5B1E}"/>
              </a:ext>
            </a:extLst>
          </xdr:cNvPr>
          <xdr:cNvSpPr txBox="1"/>
        </xdr:nvSpPr>
        <xdr:spPr>
          <a:xfrm>
            <a:off x="184049" y="1146678"/>
            <a:ext cx="1432154" cy="598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A81614C-002C-4A2F-8CCA-7F9A7355F0CE}" type="TxLink">
              <a:rPr lang="en-US" sz="20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220</a:t>
            </a:fld>
            <a:endParaRPr lang="pt-BR" sz="20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Planilha1!E5">
        <xdr:nvSpPr>
          <xdr:cNvPr id="23" name="CaixaDeTexto 22">
            <a:extLst>
              <a:ext uri="{FF2B5EF4-FFF2-40B4-BE49-F238E27FC236}">
                <a16:creationId xmlns:a16="http://schemas.microsoft.com/office/drawing/2014/main" id="{9CD87F27-7C34-42B6-861D-5FE858FC724B}"/>
              </a:ext>
            </a:extLst>
          </xdr:cNvPr>
          <xdr:cNvSpPr txBox="1"/>
        </xdr:nvSpPr>
        <xdr:spPr>
          <a:xfrm>
            <a:off x="103753" y="2548004"/>
            <a:ext cx="1670277" cy="598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454427E-C2A4-4D12-A373-ECB4C7B6DA2E}" type="TxLink">
              <a:rPr lang="en-US" sz="20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sexta-feira</a:t>
            </a:fld>
            <a:endParaRPr lang="pt-BR" sz="20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Planilha1!P22">
        <xdr:nvSpPr>
          <xdr:cNvPr id="25" name="CaixaDeTexto 24">
            <a:extLst>
              <a:ext uri="{FF2B5EF4-FFF2-40B4-BE49-F238E27FC236}">
                <a16:creationId xmlns:a16="http://schemas.microsoft.com/office/drawing/2014/main" id="{019FB526-FD0D-4C56-BE76-CEED61B2F8B7}"/>
              </a:ext>
            </a:extLst>
          </xdr:cNvPr>
          <xdr:cNvSpPr txBox="1"/>
        </xdr:nvSpPr>
        <xdr:spPr>
          <a:xfrm>
            <a:off x="108858" y="3939726"/>
            <a:ext cx="1554619" cy="598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6B3249C-367A-4080-9B3A-AE64303BBECA}" type="TxLink">
              <a:rPr lang="en-US" sz="18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 algn="ctr"/>
              <a:t> R$ 439,29 </a:t>
            </a:fld>
            <a:endParaRPr lang="pt-BR" sz="18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39</xdr:col>
      <xdr:colOff>71437</xdr:colOff>
      <xdr:row>0</xdr:row>
      <xdr:rowOff>0</xdr:rowOff>
    </xdr:from>
    <xdr:to>
      <xdr:col>92</xdr:col>
      <xdr:colOff>142875</xdr:colOff>
      <xdr:row>2</xdr:row>
      <xdr:rowOff>95250</xdr:rowOff>
    </xdr:to>
    <xdr:sp macro="" textlink="Planilha1!J8">
      <xdr:nvSpPr>
        <xdr:cNvPr id="24" name="CaixaDeTexto 23">
          <a:extLst>
            <a:ext uri="{FF2B5EF4-FFF2-40B4-BE49-F238E27FC236}">
              <a16:creationId xmlns:a16="http://schemas.microsoft.com/office/drawing/2014/main" id="{7495F62A-7715-4303-9C77-8FF76D5B3B3D}"/>
            </a:ext>
          </a:extLst>
        </xdr:cNvPr>
        <xdr:cNvSpPr txBox="1"/>
      </xdr:nvSpPr>
      <xdr:spPr>
        <a:xfrm>
          <a:off x="6834187" y="0"/>
          <a:ext cx="8834438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0" baseline="0">
              <a:solidFill>
                <a:schemeClr val="bg1"/>
              </a:solidFill>
            </a:rPr>
            <a:t>Vendas ao longo da semana</a:t>
          </a:r>
        </a:p>
      </xdr:txBody>
    </xdr:sp>
    <xdr:clientData/>
  </xdr:twoCellAnchor>
  <xdr:twoCellAnchor>
    <xdr:from>
      <xdr:col>39</xdr:col>
      <xdr:colOff>95249</xdr:colOff>
      <xdr:row>11</xdr:row>
      <xdr:rowOff>11906</xdr:rowOff>
    </xdr:from>
    <xdr:to>
      <xdr:col>93</xdr:col>
      <xdr:colOff>11906</xdr:colOff>
      <xdr:row>14</xdr:row>
      <xdr:rowOff>49148</xdr:rowOff>
    </xdr:to>
    <xdr:sp macro="" textlink="Planilha1!J8">
      <xdr:nvSpPr>
        <xdr:cNvPr id="26" name="CaixaDeTexto 25">
          <a:extLst>
            <a:ext uri="{FF2B5EF4-FFF2-40B4-BE49-F238E27FC236}">
              <a16:creationId xmlns:a16="http://schemas.microsoft.com/office/drawing/2014/main" id="{4593B782-6108-4674-AF4B-927299853E66}"/>
            </a:ext>
          </a:extLst>
        </xdr:cNvPr>
        <xdr:cNvSpPr txBox="1"/>
      </xdr:nvSpPr>
      <xdr:spPr>
        <a:xfrm>
          <a:off x="6857999" y="2107406"/>
          <a:ext cx="8846345" cy="608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0" baseline="0">
              <a:solidFill>
                <a:schemeClr val="bg1"/>
              </a:solidFill>
            </a:rPr>
            <a:t>Quantidade de vendas ao longo do mês</a:t>
          </a:r>
        </a:p>
      </xdr:txBody>
    </xdr:sp>
    <xdr:clientData/>
  </xdr:twoCellAnchor>
  <xdr:twoCellAnchor>
    <xdr:from>
      <xdr:col>11</xdr:col>
      <xdr:colOff>119063</xdr:colOff>
      <xdr:row>0</xdr:row>
      <xdr:rowOff>47625</xdr:rowOff>
    </xdr:from>
    <xdr:to>
      <xdr:col>38</xdr:col>
      <xdr:colOff>107157</xdr:colOff>
      <xdr:row>2</xdr:row>
      <xdr:rowOff>5101</xdr:rowOff>
    </xdr:to>
    <xdr:sp macro="" textlink="Planilha1!J8">
      <xdr:nvSpPr>
        <xdr:cNvPr id="27" name="CaixaDeTexto 26">
          <a:extLst>
            <a:ext uri="{FF2B5EF4-FFF2-40B4-BE49-F238E27FC236}">
              <a16:creationId xmlns:a16="http://schemas.microsoft.com/office/drawing/2014/main" id="{78AE74A6-B425-41F1-A64F-00E93D6F7A45}"/>
            </a:ext>
          </a:extLst>
        </xdr:cNvPr>
        <xdr:cNvSpPr txBox="1"/>
      </xdr:nvSpPr>
      <xdr:spPr>
        <a:xfrm>
          <a:off x="1952626" y="47625"/>
          <a:ext cx="4750594" cy="338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0" baseline="0">
              <a:solidFill>
                <a:schemeClr val="bg1"/>
              </a:solidFill>
            </a:rPr>
            <a:t>Comparação entre Dia útil Vs Não útil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Sem Sobrenome" refreshedDate="46132.570775810185" createdVersion="8" refreshedVersion="8" minRefreshableVersion="3" recordCount="155" xr:uid="{B2975D60-D9C4-4212-8B2F-A0AC8D465FDC}">
  <cacheSource type="worksheet">
    <worksheetSource name="Tabela1"/>
  </cacheSource>
  <cacheFields count="8">
    <cacheField name="data das vendas" numFmtId="164">
      <sharedItems containsSemiMixedTypes="0" containsNonDate="0" containsDate="1" containsString="0" minDate="2026-03-01T00:00:00" maxDate="2026-04-01T00:00:00" count="31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</cacheField>
    <cacheField name="dia da semana" numFmtId="164">
      <sharedItems count="7">
        <s v="domingo"/>
        <s v="segunda-feira"/>
        <s v="terça-feira"/>
        <s v="quarta-feira"/>
        <s v="quinta-feira"/>
        <s v="sexta-feira"/>
        <s v="sábado"/>
      </sharedItems>
    </cacheField>
    <cacheField name="tipo dia" numFmtId="0">
      <sharedItems count="2">
        <s v="não útil"/>
        <s v="útil"/>
      </sharedItems>
    </cacheField>
    <cacheField name="produto" numFmtId="164">
      <sharedItems count="5">
        <s v="Teclado"/>
        <s v="Monitor"/>
        <s v="Caderno"/>
        <s v="Caneta"/>
        <s v="Mouse"/>
      </sharedItems>
    </cacheField>
    <cacheField name="categoria" numFmtId="0">
      <sharedItems/>
    </cacheField>
    <cacheField name="quantidade" numFmtId="0">
      <sharedItems containsSemiMixedTypes="0" containsString="0" containsNumber="1" containsInteger="1" minValue="1" maxValue="10"/>
    </cacheField>
    <cacheField name="preco unitario" numFmtId="165">
      <sharedItems containsSemiMixedTypes="0" containsString="0" containsNumber="1" minValue="6.99" maxValue="499.99"/>
    </cacheField>
    <cacheField name="total venda dia" numFmtId="165">
      <sharedItems containsSemiMixedTypes="0" containsString="0" containsNumber="1" minValue="6.99" maxValue="4999.8999999999996"/>
    </cacheField>
  </cacheFields>
  <extLst>
    <ext xmlns:x14="http://schemas.microsoft.com/office/spreadsheetml/2009/9/main" uri="{725AE2AE-9491-48be-B2B4-4EB974FC3084}">
      <x14:pivotCacheDefinition pivotCacheId="15810457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s v="informatica"/>
    <n v="8"/>
    <n v="61.9"/>
    <n v="495.2"/>
  </r>
  <r>
    <x v="0"/>
    <x v="0"/>
    <x v="0"/>
    <x v="1"/>
    <s v="informatica"/>
    <n v="4"/>
    <n v="499.99"/>
    <n v="1999.96"/>
  </r>
  <r>
    <x v="0"/>
    <x v="0"/>
    <x v="0"/>
    <x v="2"/>
    <s v="papelaria"/>
    <n v="3"/>
    <n v="24.99"/>
    <n v="74.97"/>
  </r>
  <r>
    <x v="0"/>
    <x v="0"/>
    <x v="0"/>
    <x v="3"/>
    <s v="papelaria"/>
    <n v="10"/>
    <n v="6.99"/>
    <n v="69.900000000000006"/>
  </r>
  <r>
    <x v="0"/>
    <x v="0"/>
    <x v="0"/>
    <x v="4"/>
    <s v="informatica"/>
    <n v="10"/>
    <n v="29.9"/>
    <n v="299"/>
  </r>
  <r>
    <x v="1"/>
    <x v="1"/>
    <x v="1"/>
    <x v="0"/>
    <s v="informatica"/>
    <n v="9"/>
    <n v="61.9"/>
    <n v="557.1"/>
  </r>
  <r>
    <x v="1"/>
    <x v="1"/>
    <x v="1"/>
    <x v="1"/>
    <s v="informatica"/>
    <n v="7"/>
    <n v="499.99"/>
    <n v="3499.9300000000003"/>
  </r>
  <r>
    <x v="1"/>
    <x v="1"/>
    <x v="1"/>
    <x v="2"/>
    <s v="papelaria"/>
    <n v="5"/>
    <n v="24.99"/>
    <n v="124.94999999999999"/>
  </r>
  <r>
    <x v="1"/>
    <x v="1"/>
    <x v="1"/>
    <x v="3"/>
    <s v="papelaria"/>
    <n v="5"/>
    <n v="6.99"/>
    <n v="34.950000000000003"/>
  </r>
  <r>
    <x v="1"/>
    <x v="1"/>
    <x v="1"/>
    <x v="4"/>
    <s v="informatica"/>
    <n v="7"/>
    <n v="29.9"/>
    <n v="209.29999999999998"/>
  </r>
  <r>
    <x v="2"/>
    <x v="2"/>
    <x v="1"/>
    <x v="0"/>
    <s v="informatica"/>
    <n v="5"/>
    <n v="61.9"/>
    <n v="309.5"/>
  </r>
  <r>
    <x v="2"/>
    <x v="2"/>
    <x v="1"/>
    <x v="1"/>
    <s v="informatica"/>
    <n v="4"/>
    <n v="499.99"/>
    <n v="1999.96"/>
  </r>
  <r>
    <x v="2"/>
    <x v="2"/>
    <x v="1"/>
    <x v="2"/>
    <s v="papelaria"/>
    <n v="7"/>
    <n v="24.99"/>
    <n v="174.92999999999998"/>
  </r>
  <r>
    <x v="2"/>
    <x v="2"/>
    <x v="1"/>
    <x v="3"/>
    <s v="papelaria"/>
    <n v="6"/>
    <n v="6.99"/>
    <n v="41.94"/>
  </r>
  <r>
    <x v="2"/>
    <x v="2"/>
    <x v="1"/>
    <x v="4"/>
    <s v="informatica"/>
    <n v="5"/>
    <n v="29.9"/>
    <n v="149.5"/>
  </r>
  <r>
    <x v="3"/>
    <x v="3"/>
    <x v="1"/>
    <x v="0"/>
    <s v="informatica"/>
    <n v="6"/>
    <n v="61.9"/>
    <n v="371.4"/>
  </r>
  <r>
    <x v="3"/>
    <x v="3"/>
    <x v="1"/>
    <x v="1"/>
    <s v="informatica"/>
    <n v="5"/>
    <n v="499.99"/>
    <n v="2499.9499999999998"/>
  </r>
  <r>
    <x v="3"/>
    <x v="3"/>
    <x v="1"/>
    <x v="2"/>
    <s v="papelaria"/>
    <n v="4"/>
    <n v="24.99"/>
    <n v="99.96"/>
  </r>
  <r>
    <x v="3"/>
    <x v="3"/>
    <x v="1"/>
    <x v="3"/>
    <s v="papelaria"/>
    <n v="2"/>
    <n v="6.99"/>
    <n v="13.98"/>
  </r>
  <r>
    <x v="3"/>
    <x v="3"/>
    <x v="1"/>
    <x v="4"/>
    <s v="informatica"/>
    <n v="9"/>
    <n v="29.9"/>
    <n v="269.09999999999997"/>
  </r>
  <r>
    <x v="4"/>
    <x v="4"/>
    <x v="1"/>
    <x v="0"/>
    <s v="informatica"/>
    <n v="7"/>
    <n v="61.9"/>
    <n v="433.3"/>
  </r>
  <r>
    <x v="4"/>
    <x v="4"/>
    <x v="1"/>
    <x v="1"/>
    <s v="informatica"/>
    <n v="7"/>
    <n v="499.99"/>
    <n v="3499.9300000000003"/>
  </r>
  <r>
    <x v="4"/>
    <x v="4"/>
    <x v="1"/>
    <x v="2"/>
    <s v="papelaria"/>
    <n v="1"/>
    <n v="24.99"/>
    <n v="24.99"/>
  </r>
  <r>
    <x v="4"/>
    <x v="4"/>
    <x v="1"/>
    <x v="3"/>
    <s v="papelaria"/>
    <n v="2"/>
    <n v="6.99"/>
    <n v="13.98"/>
  </r>
  <r>
    <x v="4"/>
    <x v="4"/>
    <x v="1"/>
    <x v="4"/>
    <s v="informatica"/>
    <n v="9"/>
    <n v="29.9"/>
    <n v="269.09999999999997"/>
  </r>
  <r>
    <x v="5"/>
    <x v="5"/>
    <x v="1"/>
    <x v="0"/>
    <s v="informatica"/>
    <n v="10"/>
    <n v="61.9"/>
    <n v="619"/>
  </r>
  <r>
    <x v="5"/>
    <x v="5"/>
    <x v="1"/>
    <x v="1"/>
    <s v="informatica"/>
    <n v="4"/>
    <n v="499.99"/>
    <n v="1999.96"/>
  </r>
  <r>
    <x v="5"/>
    <x v="5"/>
    <x v="1"/>
    <x v="2"/>
    <s v="papelaria"/>
    <n v="1"/>
    <n v="24.99"/>
    <n v="24.99"/>
  </r>
  <r>
    <x v="5"/>
    <x v="5"/>
    <x v="1"/>
    <x v="3"/>
    <s v="papelaria"/>
    <n v="2"/>
    <n v="6.99"/>
    <n v="13.98"/>
  </r>
  <r>
    <x v="5"/>
    <x v="5"/>
    <x v="1"/>
    <x v="4"/>
    <s v="informatica"/>
    <n v="10"/>
    <n v="29.9"/>
    <n v="299"/>
  </r>
  <r>
    <x v="6"/>
    <x v="6"/>
    <x v="0"/>
    <x v="0"/>
    <s v="informatica"/>
    <n v="8"/>
    <n v="61.9"/>
    <n v="495.2"/>
  </r>
  <r>
    <x v="6"/>
    <x v="6"/>
    <x v="0"/>
    <x v="1"/>
    <s v="informatica"/>
    <n v="5"/>
    <n v="499.99"/>
    <n v="2499.9499999999998"/>
  </r>
  <r>
    <x v="6"/>
    <x v="6"/>
    <x v="0"/>
    <x v="2"/>
    <s v="papelaria"/>
    <n v="4"/>
    <n v="24.99"/>
    <n v="99.96"/>
  </r>
  <r>
    <x v="6"/>
    <x v="6"/>
    <x v="0"/>
    <x v="3"/>
    <s v="papelaria"/>
    <n v="2"/>
    <n v="6.99"/>
    <n v="13.98"/>
  </r>
  <r>
    <x v="6"/>
    <x v="6"/>
    <x v="0"/>
    <x v="4"/>
    <s v="informatica"/>
    <n v="4"/>
    <n v="29.9"/>
    <n v="119.6"/>
  </r>
  <r>
    <x v="7"/>
    <x v="0"/>
    <x v="0"/>
    <x v="0"/>
    <s v="informatica"/>
    <n v="8"/>
    <n v="61.9"/>
    <n v="495.2"/>
  </r>
  <r>
    <x v="7"/>
    <x v="0"/>
    <x v="0"/>
    <x v="1"/>
    <s v="informatica"/>
    <n v="10"/>
    <n v="499.99"/>
    <n v="4999.8999999999996"/>
  </r>
  <r>
    <x v="7"/>
    <x v="0"/>
    <x v="0"/>
    <x v="2"/>
    <s v="papelaria"/>
    <n v="7"/>
    <n v="24.99"/>
    <n v="174.92999999999998"/>
  </r>
  <r>
    <x v="7"/>
    <x v="0"/>
    <x v="0"/>
    <x v="3"/>
    <s v="papelaria"/>
    <n v="6"/>
    <n v="6.99"/>
    <n v="41.94"/>
  </r>
  <r>
    <x v="7"/>
    <x v="0"/>
    <x v="0"/>
    <x v="4"/>
    <s v="informatica"/>
    <n v="10"/>
    <n v="29.9"/>
    <n v="299"/>
  </r>
  <r>
    <x v="8"/>
    <x v="1"/>
    <x v="1"/>
    <x v="0"/>
    <s v="informatica"/>
    <n v="5"/>
    <n v="61.9"/>
    <n v="309.5"/>
  </r>
  <r>
    <x v="8"/>
    <x v="1"/>
    <x v="1"/>
    <x v="1"/>
    <s v="informatica"/>
    <n v="5"/>
    <n v="499.99"/>
    <n v="2499.9499999999998"/>
  </r>
  <r>
    <x v="8"/>
    <x v="1"/>
    <x v="1"/>
    <x v="2"/>
    <s v="papelaria"/>
    <n v="8"/>
    <n v="24.99"/>
    <n v="199.92"/>
  </r>
  <r>
    <x v="8"/>
    <x v="1"/>
    <x v="1"/>
    <x v="3"/>
    <s v="papelaria"/>
    <n v="9"/>
    <n v="6.99"/>
    <n v="62.910000000000004"/>
  </r>
  <r>
    <x v="8"/>
    <x v="1"/>
    <x v="1"/>
    <x v="4"/>
    <s v="informatica"/>
    <n v="5"/>
    <n v="29.9"/>
    <n v="149.5"/>
  </r>
  <r>
    <x v="9"/>
    <x v="2"/>
    <x v="1"/>
    <x v="0"/>
    <s v="informatica"/>
    <n v="9"/>
    <n v="61.9"/>
    <n v="557.1"/>
  </r>
  <r>
    <x v="9"/>
    <x v="2"/>
    <x v="1"/>
    <x v="1"/>
    <s v="informatica"/>
    <n v="6"/>
    <n v="499.99"/>
    <n v="2999.94"/>
  </r>
  <r>
    <x v="9"/>
    <x v="2"/>
    <x v="1"/>
    <x v="2"/>
    <s v="papelaria"/>
    <n v="3"/>
    <n v="24.99"/>
    <n v="74.97"/>
  </r>
  <r>
    <x v="9"/>
    <x v="2"/>
    <x v="1"/>
    <x v="3"/>
    <s v="papelaria"/>
    <n v="4"/>
    <n v="6.99"/>
    <n v="27.96"/>
  </r>
  <r>
    <x v="9"/>
    <x v="2"/>
    <x v="1"/>
    <x v="4"/>
    <s v="informatica"/>
    <n v="6"/>
    <n v="29.9"/>
    <n v="179.39999999999998"/>
  </r>
  <r>
    <x v="10"/>
    <x v="3"/>
    <x v="1"/>
    <x v="0"/>
    <s v="informatica"/>
    <n v="10"/>
    <n v="61.9"/>
    <n v="619"/>
  </r>
  <r>
    <x v="10"/>
    <x v="3"/>
    <x v="1"/>
    <x v="1"/>
    <s v="informatica"/>
    <n v="9"/>
    <n v="499.99"/>
    <n v="4499.91"/>
  </r>
  <r>
    <x v="10"/>
    <x v="3"/>
    <x v="1"/>
    <x v="2"/>
    <s v="papelaria"/>
    <n v="8"/>
    <n v="24.99"/>
    <n v="199.92"/>
  </r>
  <r>
    <x v="10"/>
    <x v="3"/>
    <x v="1"/>
    <x v="3"/>
    <s v="papelaria"/>
    <n v="1"/>
    <n v="6.99"/>
    <n v="6.99"/>
  </r>
  <r>
    <x v="10"/>
    <x v="3"/>
    <x v="1"/>
    <x v="4"/>
    <s v="informatica"/>
    <n v="10"/>
    <n v="29.9"/>
    <n v="299"/>
  </r>
  <r>
    <x v="11"/>
    <x v="4"/>
    <x v="1"/>
    <x v="0"/>
    <s v="informatica"/>
    <n v="4"/>
    <n v="61.9"/>
    <n v="247.6"/>
  </r>
  <r>
    <x v="11"/>
    <x v="4"/>
    <x v="1"/>
    <x v="1"/>
    <s v="informatica"/>
    <n v="7"/>
    <n v="499.99"/>
    <n v="3499.9300000000003"/>
  </r>
  <r>
    <x v="11"/>
    <x v="4"/>
    <x v="1"/>
    <x v="2"/>
    <s v="papelaria"/>
    <n v="5"/>
    <n v="24.99"/>
    <n v="124.94999999999999"/>
  </r>
  <r>
    <x v="11"/>
    <x v="4"/>
    <x v="1"/>
    <x v="3"/>
    <s v="papelaria"/>
    <n v="6"/>
    <n v="6.99"/>
    <n v="41.94"/>
  </r>
  <r>
    <x v="11"/>
    <x v="4"/>
    <x v="1"/>
    <x v="4"/>
    <s v="informatica"/>
    <n v="5"/>
    <n v="29.9"/>
    <n v="149.5"/>
  </r>
  <r>
    <x v="12"/>
    <x v="5"/>
    <x v="1"/>
    <x v="0"/>
    <s v="informatica"/>
    <n v="7"/>
    <n v="61.9"/>
    <n v="433.3"/>
  </r>
  <r>
    <x v="12"/>
    <x v="5"/>
    <x v="1"/>
    <x v="1"/>
    <s v="informatica"/>
    <n v="10"/>
    <n v="499.99"/>
    <n v="4999.8999999999996"/>
  </r>
  <r>
    <x v="12"/>
    <x v="5"/>
    <x v="1"/>
    <x v="2"/>
    <s v="papelaria"/>
    <n v="1"/>
    <n v="24.99"/>
    <n v="24.99"/>
  </r>
  <r>
    <x v="12"/>
    <x v="5"/>
    <x v="1"/>
    <x v="3"/>
    <s v="papelaria"/>
    <n v="4"/>
    <n v="6.99"/>
    <n v="27.96"/>
  </r>
  <r>
    <x v="12"/>
    <x v="5"/>
    <x v="1"/>
    <x v="4"/>
    <s v="informatica"/>
    <n v="8"/>
    <n v="29.9"/>
    <n v="239.2"/>
  </r>
  <r>
    <x v="13"/>
    <x v="6"/>
    <x v="0"/>
    <x v="0"/>
    <s v="informatica"/>
    <n v="5"/>
    <n v="61.9"/>
    <n v="309.5"/>
  </r>
  <r>
    <x v="13"/>
    <x v="6"/>
    <x v="0"/>
    <x v="1"/>
    <s v="informatica"/>
    <n v="8"/>
    <n v="499.99"/>
    <n v="3999.92"/>
  </r>
  <r>
    <x v="13"/>
    <x v="6"/>
    <x v="0"/>
    <x v="2"/>
    <s v="papelaria"/>
    <n v="8"/>
    <n v="24.99"/>
    <n v="199.92"/>
  </r>
  <r>
    <x v="13"/>
    <x v="6"/>
    <x v="0"/>
    <x v="3"/>
    <s v="papelaria"/>
    <n v="1"/>
    <n v="6.99"/>
    <n v="6.99"/>
  </r>
  <r>
    <x v="13"/>
    <x v="6"/>
    <x v="0"/>
    <x v="4"/>
    <s v="informatica"/>
    <n v="4"/>
    <n v="29.9"/>
    <n v="119.6"/>
  </r>
  <r>
    <x v="14"/>
    <x v="0"/>
    <x v="0"/>
    <x v="0"/>
    <s v="informatica"/>
    <n v="5"/>
    <n v="61.9"/>
    <n v="309.5"/>
  </r>
  <r>
    <x v="14"/>
    <x v="0"/>
    <x v="0"/>
    <x v="1"/>
    <s v="informatica"/>
    <n v="9"/>
    <n v="499.99"/>
    <n v="4499.91"/>
  </r>
  <r>
    <x v="14"/>
    <x v="0"/>
    <x v="0"/>
    <x v="2"/>
    <s v="papelaria"/>
    <n v="3"/>
    <n v="24.99"/>
    <n v="74.97"/>
  </r>
  <r>
    <x v="14"/>
    <x v="0"/>
    <x v="0"/>
    <x v="3"/>
    <s v="papelaria"/>
    <n v="7"/>
    <n v="6.99"/>
    <n v="48.93"/>
  </r>
  <r>
    <x v="14"/>
    <x v="0"/>
    <x v="0"/>
    <x v="4"/>
    <s v="informatica"/>
    <n v="5"/>
    <n v="29.9"/>
    <n v="149.5"/>
  </r>
  <r>
    <x v="15"/>
    <x v="1"/>
    <x v="1"/>
    <x v="0"/>
    <s v="informatica"/>
    <n v="6"/>
    <n v="61.9"/>
    <n v="371.4"/>
  </r>
  <r>
    <x v="15"/>
    <x v="1"/>
    <x v="1"/>
    <x v="1"/>
    <s v="informatica"/>
    <n v="8"/>
    <n v="499.99"/>
    <n v="3999.92"/>
  </r>
  <r>
    <x v="15"/>
    <x v="1"/>
    <x v="1"/>
    <x v="2"/>
    <s v="papelaria"/>
    <n v="8"/>
    <n v="24.99"/>
    <n v="199.92"/>
  </r>
  <r>
    <x v="15"/>
    <x v="1"/>
    <x v="1"/>
    <x v="3"/>
    <s v="papelaria"/>
    <n v="7"/>
    <n v="6.99"/>
    <n v="48.93"/>
  </r>
  <r>
    <x v="15"/>
    <x v="1"/>
    <x v="1"/>
    <x v="4"/>
    <s v="informatica"/>
    <n v="6"/>
    <n v="29.9"/>
    <n v="179.39999999999998"/>
  </r>
  <r>
    <x v="16"/>
    <x v="2"/>
    <x v="1"/>
    <x v="0"/>
    <s v="informatica"/>
    <n v="9"/>
    <n v="61.9"/>
    <n v="557.1"/>
  </r>
  <r>
    <x v="16"/>
    <x v="2"/>
    <x v="1"/>
    <x v="1"/>
    <s v="informatica"/>
    <n v="4"/>
    <n v="499.99"/>
    <n v="1999.96"/>
  </r>
  <r>
    <x v="16"/>
    <x v="2"/>
    <x v="1"/>
    <x v="2"/>
    <s v="papelaria"/>
    <n v="8"/>
    <n v="24.99"/>
    <n v="199.92"/>
  </r>
  <r>
    <x v="16"/>
    <x v="2"/>
    <x v="1"/>
    <x v="3"/>
    <s v="papelaria"/>
    <n v="9"/>
    <n v="6.99"/>
    <n v="62.910000000000004"/>
  </r>
  <r>
    <x v="16"/>
    <x v="2"/>
    <x v="1"/>
    <x v="4"/>
    <s v="informatica"/>
    <n v="6"/>
    <n v="29.9"/>
    <n v="179.39999999999998"/>
  </r>
  <r>
    <x v="17"/>
    <x v="3"/>
    <x v="1"/>
    <x v="0"/>
    <s v="informatica"/>
    <n v="8"/>
    <n v="61.9"/>
    <n v="495.2"/>
  </r>
  <r>
    <x v="17"/>
    <x v="3"/>
    <x v="1"/>
    <x v="1"/>
    <s v="informatica"/>
    <n v="4"/>
    <n v="499.99"/>
    <n v="1999.96"/>
  </r>
  <r>
    <x v="17"/>
    <x v="3"/>
    <x v="1"/>
    <x v="2"/>
    <s v="papelaria"/>
    <n v="4"/>
    <n v="24.99"/>
    <n v="99.96"/>
  </r>
  <r>
    <x v="17"/>
    <x v="3"/>
    <x v="1"/>
    <x v="3"/>
    <s v="papelaria"/>
    <n v="3"/>
    <n v="6.99"/>
    <n v="20.97"/>
  </r>
  <r>
    <x v="17"/>
    <x v="3"/>
    <x v="1"/>
    <x v="4"/>
    <s v="informatica"/>
    <n v="8"/>
    <n v="29.9"/>
    <n v="239.2"/>
  </r>
  <r>
    <x v="18"/>
    <x v="4"/>
    <x v="1"/>
    <x v="0"/>
    <s v="informatica"/>
    <n v="4"/>
    <n v="61.9"/>
    <n v="247.6"/>
  </r>
  <r>
    <x v="18"/>
    <x v="4"/>
    <x v="1"/>
    <x v="1"/>
    <s v="informatica"/>
    <n v="5"/>
    <n v="499.99"/>
    <n v="2499.9499999999998"/>
  </r>
  <r>
    <x v="18"/>
    <x v="4"/>
    <x v="1"/>
    <x v="2"/>
    <s v="papelaria"/>
    <n v="10"/>
    <n v="24.99"/>
    <n v="249.89999999999998"/>
  </r>
  <r>
    <x v="18"/>
    <x v="4"/>
    <x v="1"/>
    <x v="3"/>
    <s v="papelaria"/>
    <n v="8"/>
    <n v="6.99"/>
    <n v="55.92"/>
  </r>
  <r>
    <x v="18"/>
    <x v="4"/>
    <x v="1"/>
    <x v="4"/>
    <s v="informatica"/>
    <n v="6"/>
    <n v="29.9"/>
    <n v="179.39999999999998"/>
  </r>
  <r>
    <x v="19"/>
    <x v="5"/>
    <x v="1"/>
    <x v="0"/>
    <s v="informatica"/>
    <n v="6"/>
    <n v="61.9"/>
    <n v="371.4"/>
  </r>
  <r>
    <x v="19"/>
    <x v="5"/>
    <x v="1"/>
    <x v="1"/>
    <s v="informatica"/>
    <n v="10"/>
    <n v="499.99"/>
    <n v="4999.8999999999996"/>
  </r>
  <r>
    <x v="19"/>
    <x v="5"/>
    <x v="1"/>
    <x v="2"/>
    <s v="papelaria"/>
    <n v="5"/>
    <n v="24.99"/>
    <n v="124.94999999999999"/>
  </r>
  <r>
    <x v="19"/>
    <x v="5"/>
    <x v="1"/>
    <x v="3"/>
    <s v="papelaria"/>
    <n v="2"/>
    <n v="6.99"/>
    <n v="13.98"/>
  </r>
  <r>
    <x v="19"/>
    <x v="5"/>
    <x v="1"/>
    <x v="4"/>
    <s v="informatica"/>
    <n v="8"/>
    <n v="29.9"/>
    <n v="239.2"/>
  </r>
  <r>
    <x v="20"/>
    <x v="6"/>
    <x v="0"/>
    <x v="0"/>
    <s v="informatica"/>
    <n v="10"/>
    <n v="61.9"/>
    <n v="619"/>
  </r>
  <r>
    <x v="20"/>
    <x v="6"/>
    <x v="0"/>
    <x v="1"/>
    <s v="informatica"/>
    <n v="4"/>
    <n v="499.99"/>
    <n v="1999.96"/>
  </r>
  <r>
    <x v="20"/>
    <x v="6"/>
    <x v="0"/>
    <x v="2"/>
    <s v="papelaria"/>
    <n v="1"/>
    <n v="24.99"/>
    <n v="24.99"/>
  </r>
  <r>
    <x v="20"/>
    <x v="6"/>
    <x v="0"/>
    <x v="3"/>
    <s v="papelaria"/>
    <n v="6"/>
    <n v="6.99"/>
    <n v="41.94"/>
  </r>
  <r>
    <x v="20"/>
    <x v="6"/>
    <x v="0"/>
    <x v="4"/>
    <s v="informatica"/>
    <n v="5"/>
    <n v="29.9"/>
    <n v="149.5"/>
  </r>
  <r>
    <x v="21"/>
    <x v="0"/>
    <x v="0"/>
    <x v="0"/>
    <s v="informatica"/>
    <n v="9"/>
    <n v="61.9"/>
    <n v="557.1"/>
  </r>
  <r>
    <x v="21"/>
    <x v="0"/>
    <x v="0"/>
    <x v="1"/>
    <s v="informatica"/>
    <n v="6"/>
    <n v="499.99"/>
    <n v="2999.94"/>
  </r>
  <r>
    <x v="21"/>
    <x v="0"/>
    <x v="0"/>
    <x v="2"/>
    <s v="papelaria"/>
    <n v="6"/>
    <n v="24.99"/>
    <n v="149.94"/>
  </r>
  <r>
    <x v="21"/>
    <x v="0"/>
    <x v="0"/>
    <x v="3"/>
    <s v="papelaria"/>
    <n v="4"/>
    <n v="6.99"/>
    <n v="27.96"/>
  </r>
  <r>
    <x v="21"/>
    <x v="0"/>
    <x v="0"/>
    <x v="4"/>
    <s v="informatica"/>
    <n v="6"/>
    <n v="29.9"/>
    <n v="179.39999999999998"/>
  </r>
  <r>
    <x v="22"/>
    <x v="1"/>
    <x v="1"/>
    <x v="0"/>
    <s v="informatica"/>
    <n v="7"/>
    <n v="61.9"/>
    <n v="433.3"/>
  </r>
  <r>
    <x v="22"/>
    <x v="1"/>
    <x v="1"/>
    <x v="1"/>
    <s v="informatica"/>
    <n v="8"/>
    <n v="499.99"/>
    <n v="3999.92"/>
  </r>
  <r>
    <x v="22"/>
    <x v="1"/>
    <x v="1"/>
    <x v="2"/>
    <s v="papelaria"/>
    <n v="10"/>
    <n v="24.99"/>
    <n v="249.89999999999998"/>
  </r>
  <r>
    <x v="22"/>
    <x v="1"/>
    <x v="1"/>
    <x v="3"/>
    <s v="papelaria"/>
    <n v="3"/>
    <n v="6.99"/>
    <n v="20.97"/>
  </r>
  <r>
    <x v="22"/>
    <x v="1"/>
    <x v="1"/>
    <x v="4"/>
    <s v="informatica"/>
    <n v="8"/>
    <n v="29.9"/>
    <n v="239.2"/>
  </r>
  <r>
    <x v="23"/>
    <x v="2"/>
    <x v="1"/>
    <x v="0"/>
    <s v="informatica"/>
    <n v="5"/>
    <n v="61.9"/>
    <n v="309.5"/>
  </r>
  <r>
    <x v="23"/>
    <x v="2"/>
    <x v="1"/>
    <x v="1"/>
    <s v="informatica"/>
    <n v="9"/>
    <n v="499.99"/>
    <n v="4499.91"/>
  </r>
  <r>
    <x v="23"/>
    <x v="2"/>
    <x v="1"/>
    <x v="2"/>
    <s v="papelaria"/>
    <n v="9"/>
    <n v="24.99"/>
    <n v="224.91"/>
  </r>
  <r>
    <x v="23"/>
    <x v="2"/>
    <x v="1"/>
    <x v="3"/>
    <s v="papelaria"/>
    <n v="1"/>
    <n v="6.99"/>
    <n v="6.99"/>
  </r>
  <r>
    <x v="23"/>
    <x v="2"/>
    <x v="1"/>
    <x v="4"/>
    <s v="informatica"/>
    <n v="7"/>
    <n v="29.9"/>
    <n v="209.29999999999998"/>
  </r>
  <r>
    <x v="24"/>
    <x v="3"/>
    <x v="1"/>
    <x v="0"/>
    <s v="informatica"/>
    <n v="9"/>
    <n v="61.9"/>
    <n v="557.1"/>
  </r>
  <r>
    <x v="24"/>
    <x v="3"/>
    <x v="1"/>
    <x v="1"/>
    <s v="informatica"/>
    <n v="4"/>
    <n v="499.99"/>
    <n v="1999.96"/>
  </r>
  <r>
    <x v="24"/>
    <x v="3"/>
    <x v="1"/>
    <x v="2"/>
    <s v="papelaria"/>
    <n v="8"/>
    <n v="24.99"/>
    <n v="199.92"/>
  </r>
  <r>
    <x v="24"/>
    <x v="3"/>
    <x v="1"/>
    <x v="3"/>
    <s v="papelaria"/>
    <n v="5"/>
    <n v="6.99"/>
    <n v="34.950000000000003"/>
  </r>
  <r>
    <x v="24"/>
    <x v="3"/>
    <x v="1"/>
    <x v="4"/>
    <s v="informatica"/>
    <n v="8"/>
    <n v="29.9"/>
    <n v="239.2"/>
  </r>
  <r>
    <x v="25"/>
    <x v="4"/>
    <x v="1"/>
    <x v="0"/>
    <s v="informatica"/>
    <n v="5"/>
    <n v="61.9"/>
    <n v="309.5"/>
  </r>
  <r>
    <x v="25"/>
    <x v="4"/>
    <x v="1"/>
    <x v="1"/>
    <s v="informatica"/>
    <n v="7"/>
    <n v="499.99"/>
    <n v="3499.9300000000003"/>
  </r>
  <r>
    <x v="25"/>
    <x v="4"/>
    <x v="1"/>
    <x v="2"/>
    <s v="papelaria"/>
    <n v="5"/>
    <n v="24.99"/>
    <n v="124.94999999999999"/>
  </r>
  <r>
    <x v="25"/>
    <x v="4"/>
    <x v="1"/>
    <x v="3"/>
    <s v="papelaria"/>
    <n v="2"/>
    <n v="6.99"/>
    <n v="13.98"/>
  </r>
  <r>
    <x v="25"/>
    <x v="4"/>
    <x v="1"/>
    <x v="4"/>
    <s v="informatica"/>
    <n v="10"/>
    <n v="29.9"/>
    <n v="299"/>
  </r>
  <r>
    <x v="26"/>
    <x v="5"/>
    <x v="1"/>
    <x v="0"/>
    <s v="informatica"/>
    <n v="10"/>
    <n v="61.9"/>
    <n v="619"/>
  </r>
  <r>
    <x v="26"/>
    <x v="5"/>
    <x v="1"/>
    <x v="1"/>
    <s v="informatica"/>
    <n v="7"/>
    <n v="499.99"/>
    <n v="3499.9300000000003"/>
  </r>
  <r>
    <x v="26"/>
    <x v="5"/>
    <x v="1"/>
    <x v="2"/>
    <s v="papelaria"/>
    <n v="10"/>
    <n v="24.99"/>
    <n v="249.89999999999998"/>
  </r>
  <r>
    <x v="26"/>
    <x v="5"/>
    <x v="1"/>
    <x v="3"/>
    <s v="papelaria"/>
    <n v="9"/>
    <n v="6.99"/>
    <n v="62.910000000000004"/>
  </r>
  <r>
    <x v="26"/>
    <x v="5"/>
    <x v="1"/>
    <x v="4"/>
    <s v="informatica"/>
    <n v="7"/>
    <n v="29.9"/>
    <n v="209.29999999999998"/>
  </r>
  <r>
    <x v="27"/>
    <x v="6"/>
    <x v="0"/>
    <x v="0"/>
    <s v="informatica"/>
    <n v="10"/>
    <n v="61.9"/>
    <n v="619"/>
  </r>
  <r>
    <x v="27"/>
    <x v="6"/>
    <x v="0"/>
    <x v="1"/>
    <s v="informatica"/>
    <n v="7"/>
    <n v="499.99"/>
    <n v="3499.9300000000003"/>
  </r>
  <r>
    <x v="27"/>
    <x v="6"/>
    <x v="0"/>
    <x v="2"/>
    <s v="papelaria"/>
    <n v="7"/>
    <n v="24.99"/>
    <n v="174.92999999999998"/>
  </r>
  <r>
    <x v="27"/>
    <x v="6"/>
    <x v="0"/>
    <x v="3"/>
    <s v="papelaria"/>
    <n v="3"/>
    <n v="6.99"/>
    <n v="20.97"/>
  </r>
  <r>
    <x v="27"/>
    <x v="6"/>
    <x v="0"/>
    <x v="4"/>
    <s v="informatica"/>
    <n v="10"/>
    <n v="29.9"/>
    <n v="299"/>
  </r>
  <r>
    <x v="28"/>
    <x v="0"/>
    <x v="0"/>
    <x v="0"/>
    <s v="informatica"/>
    <n v="7"/>
    <n v="61.9"/>
    <n v="433.3"/>
  </r>
  <r>
    <x v="28"/>
    <x v="0"/>
    <x v="0"/>
    <x v="1"/>
    <s v="informatica"/>
    <n v="9"/>
    <n v="499.99"/>
    <n v="4499.91"/>
  </r>
  <r>
    <x v="28"/>
    <x v="0"/>
    <x v="0"/>
    <x v="2"/>
    <s v="papelaria"/>
    <n v="4"/>
    <n v="24.99"/>
    <n v="99.96"/>
  </r>
  <r>
    <x v="28"/>
    <x v="0"/>
    <x v="0"/>
    <x v="3"/>
    <s v="papelaria"/>
    <n v="2"/>
    <n v="6.99"/>
    <n v="13.98"/>
  </r>
  <r>
    <x v="28"/>
    <x v="0"/>
    <x v="0"/>
    <x v="4"/>
    <s v="informatica"/>
    <n v="7"/>
    <n v="29.9"/>
    <n v="209.29999999999998"/>
  </r>
  <r>
    <x v="29"/>
    <x v="1"/>
    <x v="1"/>
    <x v="0"/>
    <s v="informatica"/>
    <n v="5"/>
    <n v="61.9"/>
    <n v="309.5"/>
  </r>
  <r>
    <x v="29"/>
    <x v="1"/>
    <x v="1"/>
    <x v="1"/>
    <s v="informatica"/>
    <n v="4"/>
    <n v="499.99"/>
    <n v="1999.96"/>
  </r>
  <r>
    <x v="29"/>
    <x v="1"/>
    <x v="1"/>
    <x v="2"/>
    <s v="papelaria"/>
    <n v="6"/>
    <n v="24.99"/>
    <n v="149.94"/>
  </r>
  <r>
    <x v="29"/>
    <x v="1"/>
    <x v="1"/>
    <x v="3"/>
    <s v="papelaria"/>
    <n v="2"/>
    <n v="6.99"/>
    <n v="13.98"/>
  </r>
  <r>
    <x v="29"/>
    <x v="1"/>
    <x v="1"/>
    <x v="4"/>
    <s v="informatica"/>
    <n v="7"/>
    <n v="29.9"/>
    <n v="209.29999999999998"/>
  </r>
  <r>
    <x v="30"/>
    <x v="2"/>
    <x v="1"/>
    <x v="0"/>
    <s v="informatica"/>
    <n v="4"/>
    <n v="61.9"/>
    <n v="247.6"/>
  </r>
  <r>
    <x v="30"/>
    <x v="2"/>
    <x v="1"/>
    <x v="1"/>
    <s v="informatica"/>
    <n v="4"/>
    <n v="499.99"/>
    <n v="1999.96"/>
  </r>
  <r>
    <x v="30"/>
    <x v="2"/>
    <x v="1"/>
    <x v="2"/>
    <s v="papelaria"/>
    <n v="5"/>
    <n v="24.99"/>
    <n v="124.94999999999999"/>
  </r>
  <r>
    <x v="30"/>
    <x v="2"/>
    <x v="1"/>
    <x v="3"/>
    <s v="papelaria"/>
    <n v="5"/>
    <n v="6.99"/>
    <n v="34.950000000000003"/>
  </r>
  <r>
    <x v="30"/>
    <x v="2"/>
    <x v="1"/>
    <x v="4"/>
    <s v="informatica"/>
    <n v="8"/>
    <n v="29.9"/>
    <n v="239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F872B-FF36-40E9-9472-4B7FCEA6B9C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5">
  <location ref="I12:J15" firstHeaderRow="1" firstDataRow="1" firstDataCol="1"/>
  <pivotFields count="8">
    <pivotField compact="0" numFmtId="16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>
      <items count="6">
        <item h="1" x="2"/>
        <item h="1" x="3"/>
        <item h="1" x="1"/>
        <item h="1" x="4"/>
        <item x="0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oma de total venda dia" fld="7" baseField="0" baseItem="0" numFmtId="165"/>
  </dataField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F05CC-6354-4999-9115-375AED92061B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C34" firstHeaderRow="1" firstDataRow="2" firstDataCol="1"/>
  <pivotFields count="8">
    <pivotField axis="axisRow" compact="0" numFmtId="164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outline="0" showAll="0"/>
    <pivotField compact="0" outline="0" showAll="0"/>
    <pivotField axis="axisCol" compact="0" outline="0" showAll="0">
      <items count="6">
        <item h="1" x="2"/>
        <item h="1" x="3"/>
        <item h="1" x="1"/>
        <item h="1" x="4"/>
        <item x="0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3"/>
  </colFields>
  <colItems count="2">
    <i>
      <x v="4"/>
    </i>
    <i t="grand">
      <x/>
    </i>
  </colItems>
  <dataFields count="1">
    <dataField name="Soma de total venda dia" fld="7" baseField="0" baseItem="0" numFmtId="165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2270C-6078-48CF-8017-13CEE9F8A9A6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9">
  <location ref="I1:J3" firstHeaderRow="1" firstDataRow="1" firstDataCol="1"/>
  <pivotFields count="8">
    <pivotField compact="0" numFmtId="164" outline="0" showAll="0"/>
    <pivotField compact="0" outline="0" showAll="0" sortType="ascending"/>
    <pivotField compact="0" outline="0" showAll="0"/>
    <pivotField axis="axisRow" compact="0" outline="0" showAll="0">
      <items count="6">
        <item h="1" x="2"/>
        <item h="1" x="3"/>
        <item h="1" x="1"/>
        <item h="1" x="4"/>
        <item x="0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</pivotFields>
  <rowFields count="1">
    <field x="3"/>
  </rowFields>
  <rowItems count="2">
    <i>
      <x v="4"/>
    </i>
    <i t="grand">
      <x/>
    </i>
  </rowItems>
  <colItems count="1">
    <i/>
  </colItems>
  <dataFields count="1">
    <dataField name="Soma de total venda dia" fld="7" baseField="0" baseItem="0" numFmtId="165"/>
  </dataFields>
  <chartFormats count="29"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81332-D1E8-466D-8ECF-4CE95D466686}" name="Tabela dinâ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E6:G15" firstHeaderRow="1" firstDataRow="2" firstDataCol="1"/>
  <pivotFields count="8">
    <pivotField compact="0" numFmtId="164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outline="0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Col" compact="0" outline="0" showAll="0" sortType="descending">
      <items count="6">
        <item x="0"/>
        <item h="1" x="4"/>
        <item h="1" x="1"/>
        <item h="1" x="3"/>
        <item h="1" x="2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</pivotFields>
  <rowFields count="1">
    <field x="1"/>
  </rowFields>
  <rowItems count="8">
    <i>
      <x v="5"/>
    </i>
    <i>
      <x v="6"/>
    </i>
    <i>
      <x v="3"/>
    </i>
    <i>
      <x/>
    </i>
    <i>
      <x v="1"/>
    </i>
    <i>
      <x v="2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Média de total venda dia" fld="7" subtotal="average" baseField="1" baseItem="0" numFmtId="165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8153B-9898-430A-99A6-AD401086290D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8">
  <location ref="M13:O22" firstHeaderRow="1" firstDataRow="2" firstDataCol="1"/>
  <pivotFields count="8">
    <pivotField compact="0" numFmtId="164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axis="axisCol" compact="0" outline="0" showAll="0">
      <items count="6">
        <item h="1" x="2"/>
        <item h="1" x="3"/>
        <item h="1" x="1"/>
        <item h="1" x="4"/>
        <item x="0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2">
    <i>
      <x v="4"/>
    </i>
    <i t="grand">
      <x/>
    </i>
  </colItems>
  <dataFields count="1">
    <dataField name="Média de total venda dia" fld="7" subtotal="average" baseField="0" baseItem="0" numFmtId="165"/>
  </dataFields>
  <chartFormats count="17"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E6AD8-A0AA-40C9-A4C3-F702A183333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J21:L54" firstHeaderRow="1" firstDataRow="2" firstDataCol="1"/>
  <pivotFields count="8">
    <pivotField axis="axisRow" compact="0" numFmtId="164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outline="0" showAll="0"/>
    <pivotField compact="0" outline="0" showAll="0"/>
    <pivotField axis="axisCol" compact="0" outline="0" showAll="0">
      <items count="6">
        <item h="1" x="2"/>
        <item h="1" x="3"/>
        <item h="1" x="1"/>
        <item h="1" x="4"/>
        <item x="0"/>
        <item t="default"/>
      </items>
    </pivotField>
    <pivotField compact="0" outline="0" showAll="0"/>
    <pivotField dataField="1" compact="0" outline="0" showAll="0"/>
    <pivotField compact="0" numFmtId="165" outline="0" showAll="0"/>
    <pivotField compact="0" numFmtId="165" outline="0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3"/>
  </colFields>
  <colItems count="2">
    <i>
      <x v="4"/>
    </i>
    <i t="grand">
      <x/>
    </i>
  </colItems>
  <dataFields count="1">
    <dataField name="Soma de quantidade" fld="5" baseField="0" baseItem="0"/>
  </dataFields>
  <chartFormats count="8"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C4A0FD14-1E4A-4B96-A2F0-22851CA6D68A}" sourceName="produto">
  <pivotTables>
    <pivotTable tabId="2" name="Tabela dinâmica2"/>
    <pivotTable tabId="2" name="Tabela dinâmica3"/>
    <pivotTable tabId="2" name="Tabela dinâmica1"/>
    <pivotTable tabId="2" name="Tabela dinâmica5"/>
    <pivotTable tabId="2" name="Tabela dinâmica4"/>
    <pivotTable tabId="2" name="Tabela dinâmica6"/>
  </pivotTables>
  <data>
    <tabular pivotCacheId="1581045724">
      <items count="5">
        <i x="2"/>
        <i x="3"/>
        <i x="1"/>
        <i x="4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921A1760-9095-4796-A89D-9AFE643C0BDA}" cache="SegmentaçãodeDados_produto" caption="produto" rowHeight="4572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653A1825-FC8F-434C-AAAD-7E36782E499E}" cache="SegmentaçãodeDados_produto" caption="produto" showCaption="0" style="SlicerStyleDark2 2" rowHeight="54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910E81-AB78-43B0-ABEA-955A3F43F5BE}" name="Tabela1" displayName="Tabela1" ref="A1:H156" totalsRowShown="0" headerRowDxfId="8" headerRowBorderDxfId="7" tableBorderDxfId="6" headerRowCellStyle="Total">
  <autoFilter ref="A1:H156" xr:uid="{52910E81-AB78-43B0-ABEA-955A3F43F5BE}"/>
  <tableColumns count="8">
    <tableColumn id="1" xr3:uid="{CA617796-E6B2-472A-9933-F97A82B39A1C}" name="data das vendas" dataDxfId="5">
      <calculatedColumnFormula>$A$2+INT((ROW()-2)/5)</calculatedColumnFormula>
    </tableColumn>
    <tableColumn id="2" xr3:uid="{A3BC7424-A75C-4D84-9ECA-68956EE310FF}" name="dia da semana" dataDxfId="4">
      <calculatedColumnFormula>TEXT(A2,"dddd")</calculatedColumnFormula>
    </tableColumn>
    <tableColumn id="3" xr3:uid="{9B73CE28-0681-4B40-B02C-856359156EFA}" name="tipo dia" dataDxfId="3">
      <calculatedColumnFormula>IF(OR(B2="sábado",B2="domingo"),"não útil","útil")</calculatedColumnFormula>
    </tableColumn>
    <tableColumn id="4" xr3:uid="{97E616A6-10C0-45EE-8B23-B30A74B0C2FE}" name="produto" dataDxfId="2">
      <calculatedColumnFormula array="1">INDEX($L$2:$L$6,IF(MOD(ROW(),5)=0,5,MOD(ROW(),5)))</calculatedColumnFormula>
    </tableColumn>
    <tableColumn id="5" xr3:uid="{0B3663E5-6E5C-432E-B2D7-3C4298236D94}" name="categoria">
      <calculatedColumnFormula>IF(OR(D2="Teclado",D2="Monitor",D2="Mouse"),"informatica","papelaria")</calculatedColumnFormula>
    </tableColumn>
    <tableColumn id="6" xr3:uid="{A7775D10-E7FB-436D-8D26-58653D94FA59}" name="quantidade"/>
    <tableColumn id="7" xr3:uid="{189C3C27-FCFB-4A58-8804-D522CCB896B0}" name="preco unitario" dataDxfId="1">
      <calculatedColumnFormula>VLOOKUP(D2,$L$2:$M$6,2,FALSE)</calculatedColumnFormula>
    </tableColumn>
    <tableColumn id="8" xr3:uid="{ACE01728-B95D-4606-A57C-8CD9799D12BF}" name="total venda dia" dataDxfId="0">
      <calculatedColumnFormula>PRODUCT(G2,F2)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DCFB-7BF8-4045-B626-1F64865056AB}">
  <sheetPr codeName="Planilha1"/>
  <dimension ref="A1:Q85"/>
  <sheetViews>
    <sheetView topLeftCell="F7" workbookViewId="0">
      <selection activeCell="P22" sqref="P22"/>
    </sheetView>
  </sheetViews>
  <sheetFormatPr defaultRowHeight="15" x14ac:dyDescent="0.25"/>
  <cols>
    <col min="1" max="1" width="22.5703125" bestFit="1" customWidth="1"/>
    <col min="2" max="6" width="13.28515625" bestFit="1" customWidth="1"/>
    <col min="7" max="7" width="14.28515625" bestFit="1" customWidth="1"/>
    <col min="9" max="9" width="10.7109375" bestFit="1" customWidth="1"/>
    <col min="10" max="10" width="22.5703125" bestFit="1" customWidth="1"/>
    <col min="11" max="11" width="10.42578125" bestFit="1" customWidth="1"/>
    <col min="12" max="12" width="10.7109375" bestFit="1" customWidth="1"/>
    <col min="13" max="13" width="23.42578125" bestFit="1" customWidth="1"/>
    <col min="14" max="14" width="10.5703125" bestFit="1" customWidth="1"/>
    <col min="15" max="15" width="10.7109375" bestFit="1" customWidth="1"/>
    <col min="16" max="16" width="12.28515625" bestFit="1" customWidth="1"/>
    <col min="17" max="17" width="12.140625" bestFit="1" customWidth="1"/>
    <col min="18" max="18" width="10.5703125" bestFit="1" customWidth="1"/>
    <col min="19" max="19" width="10.7109375" bestFit="1" customWidth="1"/>
    <col min="20" max="41" width="8.140625" bestFit="1" customWidth="1"/>
    <col min="42" max="42" width="10.7109375" bestFit="1" customWidth="1"/>
  </cols>
  <sheetData>
    <row r="1" spans="1:17" x14ac:dyDescent="0.25">
      <c r="A1" s="5" t="s">
        <v>0</v>
      </c>
      <c r="B1" s="5" t="s">
        <v>1</v>
      </c>
      <c r="I1" s="5" t="s">
        <v>1</v>
      </c>
      <c r="J1" t="s">
        <v>0</v>
      </c>
    </row>
    <row r="2" spans="1:17" x14ac:dyDescent="0.25">
      <c r="A2" s="5" t="s">
        <v>2</v>
      </c>
      <c r="B2" t="s">
        <v>7</v>
      </c>
      <c r="C2" t="s">
        <v>8</v>
      </c>
      <c r="I2" t="s">
        <v>7</v>
      </c>
      <c r="J2" s="4">
        <v>13618</v>
      </c>
    </row>
    <row r="3" spans="1:17" x14ac:dyDescent="0.25">
      <c r="A3" s="1">
        <v>46082</v>
      </c>
      <c r="B3" s="4">
        <v>495.2</v>
      </c>
      <c r="C3" s="4">
        <v>495.2</v>
      </c>
      <c r="I3" t="s">
        <v>8</v>
      </c>
      <c r="J3" s="4">
        <v>13618</v>
      </c>
    </row>
    <row r="4" spans="1:17" x14ac:dyDescent="0.25">
      <c r="A4" s="1">
        <v>46083</v>
      </c>
      <c r="B4" s="4">
        <v>557.1</v>
      </c>
      <c r="C4" s="4">
        <v>557.1</v>
      </c>
    </row>
    <row r="5" spans="1:17" x14ac:dyDescent="0.25">
      <c r="A5" s="1">
        <v>46084</v>
      </c>
      <c r="B5" s="4">
        <v>309.5</v>
      </c>
      <c r="C5" s="4">
        <v>309.5</v>
      </c>
      <c r="E5" t="str">
        <f>E8</f>
        <v>sexta-feira</v>
      </c>
    </row>
    <row r="6" spans="1:17" x14ac:dyDescent="0.25">
      <c r="A6" s="1">
        <v>46085</v>
      </c>
      <c r="B6" s="4">
        <v>371.4</v>
      </c>
      <c r="C6" s="4">
        <v>371.4</v>
      </c>
      <c r="E6" s="5" t="s">
        <v>11</v>
      </c>
      <c r="F6" s="5" t="s">
        <v>1</v>
      </c>
    </row>
    <row r="7" spans="1:17" x14ac:dyDescent="0.25">
      <c r="A7" s="1">
        <v>46086</v>
      </c>
      <c r="B7" s="4">
        <v>433.3</v>
      </c>
      <c r="C7" s="4">
        <v>433.3</v>
      </c>
      <c r="E7" s="5" t="s">
        <v>13</v>
      </c>
      <c r="F7" t="s">
        <v>7</v>
      </c>
      <c r="G7" t="s">
        <v>8</v>
      </c>
    </row>
    <row r="8" spans="1:17" x14ac:dyDescent="0.25">
      <c r="A8" s="1">
        <v>46087</v>
      </c>
      <c r="B8" s="4">
        <v>619</v>
      </c>
      <c r="C8" s="4">
        <v>619</v>
      </c>
      <c r="E8" t="s">
        <v>19</v>
      </c>
      <c r="F8" s="4">
        <v>510.67500000000001</v>
      </c>
      <c r="G8" s="4">
        <v>510.67500000000001</v>
      </c>
      <c r="J8" s="9">
        <f>GETPIVOTDATA("total venda dia",$I$1)</f>
        <v>13618</v>
      </c>
    </row>
    <row r="9" spans="1:17" x14ac:dyDescent="0.25">
      <c r="A9" s="1">
        <v>46088</v>
      </c>
      <c r="B9" s="4">
        <v>495.2</v>
      </c>
      <c r="C9" s="4">
        <v>495.2</v>
      </c>
      <c r="E9" t="s">
        <v>21</v>
      </c>
      <c r="F9" s="4">
        <v>510.67500000000001</v>
      </c>
      <c r="G9" s="4">
        <v>510.67500000000001</v>
      </c>
    </row>
    <row r="10" spans="1:17" x14ac:dyDescent="0.25">
      <c r="A10" s="1">
        <v>46089</v>
      </c>
      <c r="B10" s="4">
        <v>495.2</v>
      </c>
      <c r="C10" s="4">
        <v>495.2</v>
      </c>
      <c r="E10" t="s">
        <v>17</v>
      </c>
      <c r="F10" s="4">
        <v>510.67500000000001</v>
      </c>
      <c r="G10" s="4">
        <v>510.67500000000001</v>
      </c>
    </row>
    <row r="11" spans="1:17" x14ac:dyDescent="0.25">
      <c r="A11" s="1">
        <v>46090</v>
      </c>
      <c r="B11" s="4">
        <v>309.5</v>
      </c>
      <c r="C11" s="4">
        <v>309.5</v>
      </c>
      <c r="E11" t="s">
        <v>14</v>
      </c>
      <c r="F11" s="4">
        <v>458.05999999999995</v>
      </c>
      <c r="G11" s="4">
        <v>458.05999999999995</v>
      </c>
    </row>
    <row r="12" spans="1:17" x14ac:dyDescent="0.25">
      <c r="A12" s="1">
        <v>46091</v>
      </c>
      <c r="B12" s="4">
        <v>557.1</v>
      </c>
      <c r="C12" s="4">
        <v>557.1</v>
      </c>
      <c r="E12" t="s">
        <v>15</v>
      </c>
      <c r="F12" s="4">
        <v>396.16</v>
      </c>
      <c r="G12" s="4">
        <v>396.16</v>
      </c>
      <c r="I12" s="5" t="s">
        <v>9</v>
      </c>
      <c r="J12" t="s">
        <v>0</v>
      </c>
      <c r="O12" s="9">
        <f>GETPIVOTDATA("total venda dia",$M$13)</f>
        <v>439.29032258064524</v>
      </c>
    </row>
    <row r="13" spans="1:17" x14ac:dyDescent="0.25">
      <c r="A13" s="1">
        <v>46092</v>
      </c>
      <c r="B13" s="4">
        <v>619</v>
      </c>
      <c r="C13" s="4">
        <v>619</v>
      </c>
      <c r="E13" t="s">
        <v>16</v>
      </c>
      <c r="F13" s="4">
        <v>396.16</v>
      </c>
      <c r="G13" s="4">
        <v>396.16</v>
      </c>
      <c r="I13" t="s">
        <v>10</v>
      </c>
      <c r="J13" s="4">
        <v>4333</v>
      </c>
      <c r="M13" s="5" t="s">
        <v>11</v>
      </c>
      <c r="N13" s="5" t="s">
        <v>1</v>
      </c>
    </row>
    <row r="14" spans="1:17" x14ac:dyDescent="0.25">
      <c r="A14" s="1">
        <v>46093</v>
      </c>
      <c r="B14" s="4">
        <v>247.6</v>
      </c>
      <c r="C14" s="4">
        <v>247.6</v>
      </c>
      <c r="E14" t="s">
        <v>18</v>
      </c>
      <c r="F14" s="4">
        <v>309.5</v>
      </c>
      <c r="G14" s="4">
        <v>309.5</v>
      </c>
      <c r="I14" t="s">
        <v>12</v>
      </c>
      <c r="J14" s="4">
        <v>9285.0000000000018</v>
      </c>
      <c r="M14" s="5" t="s">
        <v>13</v>
      </c>
      <c r="N14" t="s">
        <v>7</v>
      </c>
      <c r="O14" t="s">
        <v>8</v>
      </c>
    </row>
    <row r="15" spans="1:17" x14ac:dyDescent="0.25">
      <c r="A15" s="1">
        <v>46094</v>
      </c>
      <c r="B15" s="4">
        <v>433.3</v>
      </c>
      <c r="C15" s="4">
        <v>433.3</v>
      </c>
      <c r="E15" t="s">
        <v>8</v>
      </c>
      <c r="F15" s="4">
        <v>439.29032258064524</v>
      </c>
      <c r="G15" s="4">
        <v>439.29032258064524</v>
      </c>
      <c r="I15" t="s">
        <v>8</v>
      </c>
      <c r="J15" s="4">
        <v>13618.000000000002</v>
      </c>
      <c r="M15" t="s">
        <v>14</v>
      </c>
      <c r="N15" s="4">
        <v>458.05999999999995</v>
      </c>
      <c r="O15" s="4">
        <v>458.05999999999995</v>
      </c>
      <c r="P15" s="4" t="str" cm="1">
        <f t="array" ref="P15:Q21">M15:N21</f>
        <v>domingo</v>
      </c>
      <c r="Q15" s="9">
        <v>458.05999999999995</v>
      </c>
    </row>
    <row r="16" spans="1:17" x14ac:dyDescent="0.25">
      <c r="A16" s="1">
        <v>46095</v>
      </c>
      <c r="B16" s="4">
        <v>309.5</v>
      </c>
      <c r="C16" s="4">
        <v>309.5</v>
      </c>
      <c r="E16" t="str">
        <f>E8</f>
        <v>sexta-feira</v>
      </c>
      <c r="M16" t="s">
        <v>15</v>
      </c>
      <c r="N16" s="4">
        <v>396.16</v>
      </c>
      <c r="O16" s="4">
        <v>396.16</v>
      </c>
      <c r="P16" t="str">
        <v>segunda-feira</v>
      </c>
      <c r="Q16" s="9">
        <v>396.16</v>
      </c>
    </row>
    <row r="17" spans="1:17" x14ac:dyDescent="0.25">
      <c r="A17" s="1">
        <v>46096</v>
      </c>
      <c r="B17" s="4">
        <v>309.5</v>
      </c>
      <c r="C17" s="4">
        <v>309.5</v>
      </c>
      <c r="M17" t="s">
        <v>16</v>
      </c>
      <c r="N17" s="4">
        <v>396.16</v>
      </c>
      <c r="O17" s="4">
        <v>396.16</v>
      </c>
      <c r="P17" t="str">
        <v>terça-feira</v>
      </c>
      <c r="Q17" s="9">
        <v>396.16</v>
      </c>
    </row>
    <row r="18" spans="1:17" x14ac:dyDescent="0.25">
      <c r="A18" s="1">
        <v>46097</v>
      </c>
      <c r="B18" s="4">
        <v>371.4</v>
      </c>
      <c r="C18" s="4">
        <v>371.4</v>
      </c>
      <c r="M18" t="s">
        <v>17</v>
      </c>
      <c r="N18" s="4">
        <v>510.67500000000001</v>
      </c>
      <c r="O18" s="4">
        <v>510.67500000000001</v>
      </c>
      <c r="P18" t="str">
        <v>quarta-feira</v>
      </c>
      <c r="Q18" s="9">
        <v>510.67500000000001</v>
      </c>
    </row>
    <row r="19" spans="1:17" x14ac:dyDescent="0.25">
      <c r="A19" s="1">
        <v>46098</v>
      </c>
      <c r="B19" s="4">
        <v>557.1</v>
      </c>
      <c r="C19" s="4">
        <v>557.1</v>
      </c>
      <c r="M19" t="s">
        <v>18</v>
      </c>
      <c r="N19" s="4">
        <v>309.5</v>
      </c>
      <c r="O19" s="4">
        <v>309.5</v>
      </c>
      <c r="P19" t="str">
        <v>quinta-feira</v>
      </c>
      <c r="Q19" s="9">
        <v>309.5</v>
      </c>
    </row>
    <row r="20" spans="1:17" x14ac:dyDescent="0.25">
      <c r="A20" s="1">
        <v>46099</v>
      </c>
      <c r="B20" s="4">
        <v>495.2</v>
      </c>
      <c r="C20" s="4">
        <v>495.2</v>
      </c>
      <c r="M20" t="s">
        <v>19</v>
      </c>
      <c r="N20" s="4">
        <v>510.67500000000001</v>
      </c>
      <c r="O20" s="4">
        <v>510.67500000000001</v>
      </c>
      <c r="P20" t="str">
        <v>sexta-feira</v>
      </c>
      <c r="Q20" s="9">
        <v>510.67500000000001</v>
      </c>
    </row>
    <row r="21" spans="1:17" x14ac:dyDescent="0.25">
      <c r="A21" s="1">
        <v>46100</v>
      </c>
      <c r="B21" s="4">
        <v>247.6</v>
      </c>
      <c r="C21" s="4">
        <v>247.6</v>
      </c>
      <c r="J21" s="5" t="s">
        <v>20</v>
      </c>
      <c r="K21" s="5" t="s">
        <v>1</v>
      </c>
      <c r="M21" t="s">
        <v>21</v>
      </c>
      <c r="N21" s="4">
        <v>510.67500000000001</v>
      </c>
      <c r="O21" s="4">
        <v>510.67500000000001</v>
      </c>
      <c r="P21" t="str">
        <v>sábado</v>
      </c>
      <c r="Q21" s="9">
        <v>510.67500000000001</v>
      </c>
    </row>
    <row r="22" spans="1:17" x14ac:dyDescent="0.25">
      <c r="A22" s="1">
        <v>46101</v>
      </c>
      <c r="B22" s="4">
        <v>371.4</v>
      </c>
      <c r="C22" s="4">
        <v>371.4</v>
      </c>
      <c r="J22" s="5" t="s">
        <v>2</v>
      </c>
      <c r="K22" t="s">
        <v>7</v>
      </c>
      <c r="L22" t="s">
        <v>8</v>
      </c>
      <c r="M22" t="s">
        <v>8</v>
      </c>
      <c r="N22" s="4">
        <v>439.29032258064524</v>
      </c>
      <c r="O22" s="4">
        <v>439.29032258064524</v>
      </c>
      <c r="P22" s="9">
        <f>GETPIVOTDATA("total venda dia",$M$13)</f>
        <v>439.29032258064524</v>
      </c>
    </row>
    <row r="23" spans="1:17" x14ac:dyDescent="0.25">
      <c r="A23" s="1">
        <v>46102</v>
      </c>
      <c r="B23" s="4">
        <v>619</v>
      </c>
      <c r="C23" s="4">
        <v>619</v>
      </c>
      <c r="J23" s="1">
        <v>46082</v>
      </c>
      <c r="K23">
        <v>8</v>
      </c>
      <c r="L23">
        <v>8</v>
      </c>
    </row>
    <row r="24" spans="1:17" x14ac:dyDescent="0.25">
      <c r="A24" s="1">
        <v>46103</v>
      </c>
      <c r="B24" s="4">
        <v>557.1</v>
      </c>
      <c r="C24" s="4">
        <v>557.1</v>
      </c>
      <c r="J24" s="1">
        <v>46083</v>
      </c>
      <c r="K24">
        <v>9</v>
      </c>
      <c r="L24">
        <v>9</v>
      </c>
    </row>
    <row r="25" spans="1:17" x14ac:dyDescent="0.25">
      <c r="A25" s="1">
        <v>46104</v>
      </c>
      <c r="B25" s="4">
        <v>433.3</v>
      </c>
      <c r="C25" s="4">
        <v>433.3</v>
      </c>
      <c r="J25" s="1">
        <v>46084</v>
      </c>
      <c r="K25">
        <v>5</v>
      </c>
      <c r="L25">
        <v>5</v>
      </c>
    </row>
    <row r="26" spans="1:17" x14ac:dyDescent="0.25">
      <c r="A26" s="1">
        <v>46105</v>
      </c>
      <c r="B26" s="4">
        <v>309.5</v>
      </c>
      <c r="C26" s="4">
        <v>309.5</v>
      </c>
      <c r="J26" s="1">
        <v>46085</v>
      </c>
      <c r="K26">
        <v>6</v>
      </c>
      <c r="L26">
        <v>6</v>
      </c>
    </row>
    <row r="27" spans="1:17" x14ac:dyDescent="0.25">
      <c r="A27" s="1">
        <v>46106</v>
      </c>
      <c r="B27" s="4">
        <v>557.1</v>
      </c>
      <c r="C27" s="4">
        <v>557.1</v>
      </c>
      <c r="J27" s="1">
        <v>46086</v>
      </c>
      <c r="K27">
        <v>7</v>
      </c>
      <c r="L27">
        <v>7</v>
      </c>
    </row>
    <row r="28" spans="1:17" x14ac:dyDescent="0.25">
      <c r="A28" s="1">
        <v>46107</v>
      </c>
      <c r="B28" s="4">
        <v>309.5</v>
      </c>
      <c r="C28" s="4">
        <v>309.5</v>
      </c>
      <c r="J28" s="1">
        <v>46087</v>
      </c>
      <c r="K28">
        <v>10</v>
      </c>
      <c r="L28">
        <v>10</v>
      </c>
    </row>
    <row r="29" spans="1:17" x14ac:dyDescent="0.25">
      <c r="A29" s="1">
        <v>46108</v>
      </c>
      <c r="B29" s="4">
        <v>619</v>
      </c>
      <c r="C29" s="4">
        <v>619</v>
      </c>
      <c r="J29" s="1">
        <v>46088</v>
      </c>
      <c r="K29">
        <v>8</v>
      </c>
      <c r="L29">
        <v>8</v>
      </c>
    </row>
    <row r="30" spans="1:17" x14ac:dyDescent="0.25">
      <c r="A30" s="1">
        <v>46109</v>
      </c>
      <c r="B30" s="4">
        <v>619</v>
      </c>
      <c r="C30" s="4">
        <v>619</v>
      </c>
      <c r="J30" s="1">
        <v>46089</v>
      </c>
      <c r="K30">
        <v>8</v>
      </c>
      <c r="L30">
        <v>8</v>
      </c>
    </row>
    <row r="31" spans="1:17" x14ac:dyDescent="0.25">
      <c r="A31" s="1">
        <v>46110</v>
      </c>
      <c r="B31" s="4">
        <v>433.3</v>
      </c>
      <c r="C31" s="4">
        <v>433.3</v>
      </c>
      <c r="J31" s="1">
        <v>46090</v>
      </c>
      <c r="K31">
        <v>5</v>
      </c>
      <c r="L31">
        <v>5</v>
      </c>
    </row>
    <row r="32" spans="1:17" x14ac:dyDescent="0.25">
      <c r="A32" s="1">
        <v>46111</v>
      </c>
      <c r="B32" s="4">
        <v>309.5</v>
      </c>
      <c r="C32" s="4">
        <v>309.5</v>
      </c>
      <c r="J32" s="1">
        <v>46091</v>
      </c>
      <c r="K32">
        <v>9</v>
      </c>
      <c r="L32">
        <v>9</v>
      </c>
    </row>
    <row r="33" spans="1:12" x14ac:dyDescent="0.25">
      <c r="A33" s="1">
        <v>46112</v>
      </c>
      <c r="B33" s="4">
        <v>247.6</v>
      </c>
      <c r="C33" s="4">
        <v>247.6</v>
      </c>
      <c r="J33" s="1">
        <v>46092</v>
      </c>
      <c r="K33">
        <v>10</v>
      </c>
      <c r="L33">
        <v>10</v>
      </c>
    </row>
    <row r="34" spans="1:12" x14ac:dyDescent="0.25">
      <c r="A34" s="1" t="s">
        <v>8</v>
      </c>
      <c r="B34" s="4">
        <v>13618</v>
      </c>
      <c r="C34" s="4">
        <v>13618</v>
      </c>
      <c r="J34" s="1">
        <v>46093</v>
      </c>
      <c r="K34">
        <v>4</v>
      </c>
      <c r="L34">
        <v>4</v>
      </c>
    </row>
    <row r="35" spans="1:12" x14ac:dyDescent="0.25">
      <c r="A35" s="10" cm="1">
        <f t="array" ref="A35:B65">A3:B33</f>
        <v>46082</v>
      </c>
      <c r="B35" s="9">
        <v>495.2</v>
      </c>
      <c r="J35" s="1">
        <v>46094</v>
      </c>
      <c r="K35">
        <v>7</v>
      </c>
      <c r="L35">
        <v>7</v>
      </c>
    </row>
    <row r="36" spans="1:12" x14ac:dyDescent="0.25">
      <c r="A36" s="10">
        <v>46083</v>
      </c>
      <c r="B36" s="9">
        <v>557.1</v>
      </c>
      <c r="J36" s="1">
        <v>46095</v>
      </c>
      <c r="K36">
        <v>5</v>
      </c>
      <c r="L36">
        <v>5</v>
      </c>
    </row>
    <row r="37" spans="1:12" x14ac:dyDescent="0.25">
      <c r="A37" s="10">
        <v>46084</v>
      </c>
      <c r="B37" s="9">
        <v>309.5</v>
      </c>
      <c r="J37" s="1">
        <v>46096</v>
      </c>
      <c r="K37">
        <v>5</v>
      </c>
      <c r="L37">
        <v>5</v>
      </c>
    </row>
    <row r="38" spans="1:12" x14ac:dyDescent="0.25">
      <c r="A38" s="10">
        <v>46085</v>
      </c>
      <c r="B38" s="9">
        <v>371.4</v>
      </c>
      <c r="J38" s="1">
        <v>46097</v>
      </c>
      <c r="K38">
        <v>6</v>
      </c>
      <c r="L38">
        <v>6</v>
      </c>
    </row>
    <row r="39" spans="1:12" x14ac:dyDescent="0.25">
      <c r="A39" s="10">
        <v>46086</v>
      </c>
      <c r="B39" s="9">
        <v>433.3</v>
      </c>
      <c r="J39" s="1">
        <v>46098</v>
      </c>
      <c r="K39">
        <v>9</v>
      </c>
      <c r="L39">
        <v>9</v>
      </c>
    </row>
    <row r="40" spans="1:12" x14ac:dyDescent="0.25">
      <c r="A40" s="10">
        <v>46087</v>
      </c>
      <c r="B40" s="9">
        <v>619</v>
      </c>
      <c r="E40" s="10" t="str" cm="1">
        <f t="array" ref="E40:F70">E8:F38</f>
        <v>sexta-feira</v>
      </c>
      <c r="F40" s="9">
        <v>510.67500000000001</v>
      </c>
      <c r="J40" s="1">
        <v>46099</v>
      </c>
      <c r="K40">
        <v>8</v>
      </c>
      <c r="L40">
        <v>8</v>
      </c>
    </row>
    <row r="41" spans="1:12" x14ac:dyDescent="0.25">
      <c r="A41" s="10">
        <v>46088</v>
      </c>
      <c r="B41" s="9">
        <v>495.2</v>
      </c>
      <c r="E41" s="10" t="str">
        <v>sábado</v>
      </c>
      <c r="F41" s="9">
        <v>510.67500000000001</v>
      </c>
      <c r="J41" s="1">
        <v>46100</v>
      </c>
      <c r="K41">
        <v>4</v>
      </c>
      <c r="L41">
        <v>4</v>
      </c>
    </row>
    <row r="42" spans="1:12" x14ac:dyDescent="0.25">
      <c r="A42" s="10">
        <v>46089</v>
      </c>
      <c r="B42" s="9">
        <v>495.2</v>
      </c>
      <c r="E42" s="10" t="str">
        <v>quarta-feira</v>
      </c>
      <c r="F42" s="9">
        <v>510.67500000000001</v>
      </c>
      <c r="J42" s="1">
        <v>46101</v>
      </c>
      <c r="K42">
        <v>6</v>
      </c>
      <c r="L42">
        <v>6</v>
      </c>
    </row>
    <row r="43" spans="1:12" x14ac:dyDescent="0.25">
      <c r="A43" s="10">
        <v>46090</v>
      </c>
      <c r="B43" s="9">
        <v>309.5</v>
      </c>
      <c r="E43" s="10" t="str">
        <v>domingo</v>
      </c>
      <c r="F43" s="9">
        <v>458.05999999999995</v>
      </c>
      <c r="J43" s="1">
        <v>46102</v>
      </c>
      <c r="K43">
        <v>10</v>
      </c>
      <c r="L43">
        <v>10</v>
      </c>
    </row>
    <row r="44" spans="1:12" x14ac:dyDescent="0.25">
      <c r="A44" s="10">
        <v>46091</v>
      </c>
      <c r="B44" s="9">
        <v>557.1</v>
      </c>
      <c r="E44" s="10" t="str">
        <v>segunda-feira</v>
      </c>
      <c r="F44" s="9">
        <v>396.16</v>
      </c>
      <c r="J44" s="1">
        <v>46103</v>
      </c>
      <c r="K44">
        <v>9</v>
      </c>
      <c r="L44">
        <v>9</v>
      </c>
    </row>
    <row r="45" spans="1:12" x14ac:dyDescent="0.25">
      <c r="A45" s="10">
        <v>46092</v>
      </c>
      <c r="B45" s="9">
        <v>619</v>
      </c>
      <c r="E45" s="10" t="str">
        <v>terça-feira</v>
      </c>
      <c r="F45" s="9">
        <v>396.16</v>
      </c>
      <c r="J45" s="1">
        <v>46104</v>
      </c>
      <c r="K45">
        <v>7</v>
      </c>
      <c r="L45">
        <v>7</v>
      </c>
    </row>
    <row r="46" spans="1:12" x14ac:dyDescent="0.25">
      <c r="A46" s="10">
        <v>46093</v>
      </c>
      <c r="B46" s="9">
        <v>247.6</v>
      </c>
      <c r="E46" s="10" t="str">
        <v>quinta-feira</v>
      </c>
      <c r="F46" s="9">
        <v>309.5</v>
      </c>
      <c r="J46" s="1">
        <v>46105</v>
      </c>
      <c r="K46">
        <v>5</v>
      </c>
      <c r="L46">
        <v>5</v>
      </c>
    </row>
    <row r="47" spans="1:12" x14ac:dyDescent="0.25">
      <c r="A47" s="10">
        <v>46094</v>
      </c>
      <c r="B47" s="9">
        <v>433.3</v>
      </c>
      <c r="E47" s="10" t="str">
        <v>Total Geral</v>
      </c>
      <c r="F47" s="9">
        <v>439.29032258064524</v>
      </c>
      <c r="J47" s="1">
        <v>46106</v>
      </c>
      <c r="K47">
        <v>9</v>
      </c>
      <c r="L47">
        <v>9</v>
      </c>
    </row>
    <row r="48" spans="1:12" x14ac:dyDescent="0.25">
      <c r="A48" s="10">
        <v>46095</v>
      </c>
      <c r="B48" s="9">
        <v>309.5</v>
      </c>
      <c r="E48" s="10" t="str">
        <v>sexta-feira</v>
      </c>
      <c r="F48" s="9">
        <v>0</v>
      </c>
      <c r="J48" s="1">
        <v>46107</v>
      </c>
      <c r="K48">
        <v>5</v>
      </c>
      <c r="L48">
        <v>5</v>
      </c>
    </row>
    <row r="49" spans="1:13" x14ac:dyDescent="0.25">
      <c r="A49" s="10">
        <v>46096</v>
      </c>
      <c r="B49" s="9">
        <v>309.5</v>
      </c>
      <c r="E49" s="10">
        <v>0</v>
      </c>
      <c r="F49" s="9">
        <v>0</v>
      </c>
      <c r="J49" s="1">
        <v>46108</v>
      </c>
      <c r="K49">
        <v>10</v>
      </c>
      <c r="L49">
        <v>10</v>
      </c>
    </row>
    <row r="50" spans="1:13" x14ac:dyDescent="0.25">
      <c r="A50" s="10">
        <v>46097</v>
      </c>
      <c r="B50" s="9">
        <v>371.4</v>
      </c>
      <c r="E50" s="10">
        <v>0</v>
      </c>
      <c r="F50" s="9">
        <v>0</v>
      </c>
      <c r="J50" s="1">
        <v>46109</v>
      </c>
      <c r="K50">
        <v>10</v>
      </c>
      <c r="L50">
        <v>10</v>
      </c>
    </row>
    <row r="51" spans="1:13" x14ac:dyDescent="0.25">
      <c r="A51" s="10">
        <v>46098</v>
      </c>
      <c r="B51" s="9">
        <v>557.1</v>
      </c>
      <c r="E51" s="10">
        <v>0</v>
      </c>
      <c r="F51" s="9">
        <v>0</v>
      </c>
      <c r="J51" s="1">
        <v>46110</v>
      </c>
      <c r="K51">
        <v>7</v>
      </c>
      <c r="L51">
        <v>7</v>
      </c>
    </row>
    <row r="52" spans="1:13" x14ac:dyDescent="0.25">
      <c r="A52" s="10">
        <v>46099</v>
      </c>
      <c r="B52" s="9">
        <v>495.2</v>
      </c>
      <c r="E52" s="10">
        <v>0</v>
      </c>
      <c r="F52" s="9">
        <v>0</v>
      </c>
      <c r="J52" s="1">
        <v>46111</v>
      </c>
      <c r="K52">
        <v>5</v>
      </c>
      <c r="L52">
        <v>5</v>
      </c>
    </row>
    <row r="53" spans="1:13" x14ac:dyDescent="0.25">
      <c r="A53" s="10">
        <v>46100</v>
      </c>
      <c r="B53" s="9">
        <v>247.6</v>
      </c>
      <c r="E53" s="10">
        <v>0</v>
      </c>
      <c r="F53" s="9">
        <v>0</v>
      </c>
      <c r="J53" s="1">
        <v>46112</v>
      </c>
      <c r="K53">
        <v>4</v>
      </c>
      <c r="L53">
        <v>4</v>
      </c>
    </row>
    <row r="54" spans="1:13" x14ac:dyDescent="0.25">
      <c r="A54" s="10">
        <v>46101</v>
      </c>
      <c r="B54" s="9">
        <v>371.4</v>
      </c>
      <c r="E54" s="10">
        <v>0</v>
      </c>
      <c r="F54" s="9">
        <v>0</v>
      </c>
      <c r="J54" s="1" t="s">
        <v>8</v>
      </c>
      <c r="K54">
        <v>220</v>
      </c>
      <c r="L54">
        <v>220</v>
      </c>
      <c r="M54">
        <f>GETPIVOTDATA("quantidade",$J$21)</f>
        <v>220</v>
      </c>
    </row>
    <row r="55" spans="1:13" x14ac:dyDescent="0.25">
      <c r="A55" s="10">
        <v>46102</v>
      </c>
      <c r="B55" s="9">
        <v>619</v>
      </c>
      <c r="E55" s="10">
        <v>0</v>
      </c>
      <c r="F55" s="9">
        <v>0</v>
      </c>
      <c r="J55" s="10" cm="1">
        <f t="array" ref="J55:K85">J23:K53</f>
        <v>46082</v>
      </c>
      <c r="K55">
        <v>8</v>
      </c>
    </row>
    <row r="56" spans="1:13" x14ac:dyDescent="0.25">
      <c r="A56" s="10">
        <v>46103</v>
      </c>
      <c r="B56" s="9">
        <v>557.1</v>
      </c>
      <c r="E56" s="10">
        <v>0</v>
      </c>
      <c r="F56" s="9">
        <v>0</v>
      </c>
      <c r="J56" s="10">
        <v>46083</v>
      </c>
      <c r="K56">
        <v>9</v>
      </c>
    </row>
    <row r="57" spans="1:13" x14ac:dyDescent="0.25">
      <c r="A57" s="10">
        <v>46104</v>
      </c>
      <c r="B57" s="9">
        <v>433.3</v>
      </c>
      <c r="E57" s="10">
        <v>0</v>
      </c>
      <c r="F57" s="9">
        <v>0</v>
      </c>
      <c r="J57" s="10">
        <v>46084</v>
      </c>
      <c r="K57">
        <v>5</v>
      </c>
    </row>
    <row r="58" spans="1:13" x14ac:dyDescent="0.25">
      <c r="A58" s="10">
        <v>46105</v>
      </c>
      <c r="B58" s="9">
        <v>309.5</v>
      </c>
      <c r="E58" s="10">
        <v>0</v>
      </c>
      <c r="F58" s="9">
        <v>0</v>
      </c>
      <c r="J58" s="10">
        <v>46085</v>
      </c>
      <c r="K58">
        <v>6</v>
      </c>
    </row>
    <row r="59" spans="1:13" x14ac:dyDescent="0.25">
      <c r="A59" s="10">
        <v>46106</v>
      </c>
      <c r="B59" s="9">
        <v>557.1</v>
      </c>
      <c r="E59" s="10">
        <v>0</v>
      </c>
      <c r="F59" s="9">
        <v>0</v>
      </c>
      <c r="J59" s="10">
        <v>46086</v>
      </c>
      <c r="K59">
        <v>7</v>
      </c>
    </row>
    <row r="60" spans="1:13" x14ac:dyDescent="0.25">
      <c r="A60" s="10">
        <v>46107</v>
      </c>
      <c r="B60" s="9">
        <v>309.5</v>
      </c>
      <c r="E60" s="10">
        <v>0</v>
      </c>
      <c r="F60" s="9">
        <v>0</v>
      </c>
      <c r="J60" s="10">
        <v>46087</v>
      </c>
      <c r="K60">
        <v>10</v>
      </c>
    </row>
    <row r="61" spans="1:13" x14ac:dyDescent="0.25">
      <c r="A61" s="10">
        <v>46108</v>
      </c>
      <c r="B61" s="9">
        <v>619</v>
      </c>
      <c r="E61" s="10">
        <v>0</v>
      </c>
      <c r="F61" s="9">
        <v>0</v>
      </c>
      <c r="J61" s="10">
        <v>46088</v>
      </c>
      <c r="K61">
        <v>8</v>
      </c>
    </row>
    <row r="62" spans="1:13" x14ac:dyDescent="0.25">
      <c r="A62" s="10">
        <v>46109</v>
      </c>
      <c r="B62" s="9">
        <v>619</v>
      </c>
      <c r="E62" s="10">
        <v>0</v>
      </c>
      <c r="F62" s="9">
        <v>0</v>
      </c>
      <c r="J62" s="10">
        <v>46089</v>
      </c>
      <c r="K62">
        <v>8</v>
      </c>
    </row>
    <row r="63" spans="1:13" x14ac:dyDescent="0.25">
      <c r="A63" s="10">
        <v>46110</v>
      </c>
      <c r="B63" s="9">
        <v>433.3</v>
      </c>
      <c r="E63" s="10">
        <v>0</v>
      </c>
      <c r="F63" s="9">
        <v>0</v>
      </c>
      <c r="J63" s="10">
        <v>46090</v>
      </c>
      <c r="K63">
        <v>5</v>
      </c>
    </row>
    <row r="64" spans="1:13" x14ac:dyDescent="0.25">
      <c r="A64" s="10">
        <v>46111</v>
      </c>
      <c r="B64" s="9">
        <v>309.5</v>
      </c>
      <c r="E64" s="10">
        <v>0</v>
      </c>
      <c r="F64" s="9">
        <v>0</v>
      </c>
      <c r="J64" s="10">
        <v>46091</v>
      </c>
      <c r="K64">
        <v>9</v>
      </c>
    </row>
    <row r="65" spans="1:11" x14ac:dyDescent="0.25">
      <c r="A65" s="10">
        <v>46112</v>
      </c>
      <c r="B65" s="9">
        <v>247.6</v>
      </c>
      <c r="E65" s="10">
        <v>0</v>
      </c>
      <c r="F65" s="9">
        <v>0</v>
      </c>
      <c r="J65" s="10">
        <v>46092</v>
      </c>
      <c r="K65">
        <v>10</v>
      </c>
    </row>
    <row r="66" spans="1:11" x14ac:dyDescent="0.25">
      <c r="E66" s="10">
        <v>0</v>
      </c>
      <c r="F66" s="9">
        <v>0</v>
      </c>
      <c r="J66" s="10">
        <v>46093</v>
      </c>
      <c r="K66">
        <v>4</v>
      </c>
    </row>
    <row r="67" spans="1:11" x14ac:dyDescent="0.25">
      <c r="E67" s="10">
        <v>0</v>
      </c>
      <c r="F67" s="9">
        <v>0</v>
      </c>
      <c r="J67" s="10">
        <v>46094</v>
      </c>
      <c r="K67">
        <v>7</v>
      </c>
    </row>
    <row r="68" spans="1:11" x14ac:dyDescent="0.25">
      <c r="E68" s="10">
        <v>0</v>
      </c>
      <c r="F68" s="9">
        <v>0</v>
      </c>
      <c r="J68" s="10">
        <v>46095</v>
      </c>
      <c r="K68">
        <v>5</v>
      </c>
    </row>
    <row r="69" spans="1:11" x14ac:dyDescent="0.25">
      <c r="E69" s="10">
        <v>0</v>
      </c>
      <c r="F69" s="9">
        <v>0</v>
      </c>
      <c r="J69" s="10">
        <v>46096</v>
      </c>
      <c r="K69">
        <v>5</v>
      </c>
    </row>
    <row r="70" spans="1:11" x14ac:dyDescent="0.25">
      <c r="E70" s="10">
        <v>0</v>
      </c>
      <c r="F70" s="9">
        <v>0</v>
      </c>
      <c r="J70" s="10">
        <v>46097</v>
      </c>
      <c r="K70">
        <v>6</v>
      </c>
    </row>
    <row r="71" spans="1:11" x14ac:dyDescent="0.25">
      <c r="J71" s="10">
        <v>46098</v>
      </c>
      <c r="K71">
        <v>9</v>
      </c>
    </row>
    <row r="72" spans="1:11" x14ac:dyDescent="0.25">
      <c r="J72" s="10">
        <v>46099</v>
      </c>
      <c r="K72">
        <v>8</v>
      </c>
    </row>
    <row r="73" spans="1:11" x14ac:dyDescent="0.25">
      <c r="J73" s="10">
        <v>46100</v>
      </c>
      <c r="K73">
        <v>4</v>
      </c>
    </row>
    <row r="74" spans="1:11" x14ac:dyDescent="0.25">
      <c r="J74" s="10">
        <v>46101</v>
      </c>
      <c r="K74">
        <v>6</v>
      </c>
    </row>
    <row r="75" spans="1:11" x14ac:dyDescent="0.25">
      <c r="J75" s="10">
        <v>46102</v>
      </c>
      <c r="K75">
        <v>10</v>
      </c>
    </row>
    <row r="76" spans="1:11" x14ac:dyDescent="0.25">
      <c r="J76" s="10">
        <v>46103</v>
      </c>
      <c r="K76">
        <v>9</v>
      </c>
    </row>
    <row r="77" spans="1:11" x14ac:dyDescent="0.25">
      <c r="J77" s="10">
        <v>46104</v>
      </c>
      <c r="K77">
        <v>7</v>
      </c>
    </row>
    <row r="78" spans="1:11" x14ac:dyDescent="0.25">
      <c r="J78" s="10">
        <v>46105</v>
      </c>
      <c r="K78">
        <v>5</v>
      </c>
    </row>
    <row r="79" spans="1:11" x14ac:dyDescent="0.25">
      <c r="J79" s="10">
        <v>46106</v>
      </c>
      <c r="K79">
        <v>9</v>
      </c>
    </row>
    <row r="80" spans="1:11" x14ac:dyDescent="0.25">
      <c r="J80" s="10">
        <v>46107</v>
      </c>
      <c r="K80">
        <v>5</v>
      </c>
    </row>
    <row r="81" spans="10:11" x14ac:dyDescent="0.25">
      <c r="J81" s="10">
        <v>46108</v>
      </c>
      <c r="K81">
        <v>10</v>
      </c>
    </row>
    <row r="82" spans="10:11" x14ac:dyDescent="0.25">
      <c r="J82" s="10">
        <v>46109</v>
      </c>
      <c r="K82">
        <v>10</v>
      </c>
    </row>
    <row r="83" spans="10:11" x14ac:dyDescent="0.25">
      <c r="J83" s="10">
        <v>46110</v>
      </c>
      <c r="K83">
        <v>7</v>
      </c>
    </row>
    <row r="84" spans="10:11" x14ac:dyDescent="0.25">
      <c r="J84" s="10">
        <v>46111</v>
      </c>
      <c r="K84">
        <v>5</v>
      </c>
    </row>
    <row r="85" spans="10:11" x14ac:dyDescent="0.25">
      <c r="J85" s="10">
        <v>46112</v>
      </c>
      <c r="K85">
        <v>4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F581-395F-4D8E-BF64-86F2ABAD31A5}">
  <sheetPr codeName="Planilha2"/>
  <dimension ref="A1:FS49"/>
  <sheetViews>
    <sheetView tabSelected="1" zoomScale="80" zoomScaleNormal="80" workbookViewId="0">
      <selection activeCell="AK20" sqref="AK20"/>
    </sheetView>
  </sheetViews>
  <sheetFormatPr defaultColWidth="2.5703125" defaultRowHeight="15" x14ac:dyDescent="0.25"/>
  <cols>
    <col min="17" max="17" width="6.42578125" bestFit="1" customWidth="1"/>
    <col min="63" max="63" width="1.42578125" customWidth="1"/>
  </cols>
  <sheetData>
    <row r="1" spans="1:175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</row>
    <row r="2" spans="1:17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</row>
    <row r="3" spans="1:17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</row>
    <row r="4" spans="1:17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</row>
    <row r="5" spans="1:17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</row>
    <row r="6" spans="1:17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 t="e">
        <f>GETPIVOTDATA("total venda dia",Planilha1!$I$1,"produto","Caneta")</f>
        <v>#REF!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</row>
    <row r="7" spans="1:175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</row>
    <row r="8" spans="1:17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</row>
    <row r="9" spans="1:17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</row>
    <row r="10" spans="1:17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</row>
    <row r="11" spans="1:17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</row>
    <row r="12" spans="1:17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</row>
    <row r="13" spans="1:17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</row>
    <row r="14" spans="1:17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</row>
    <row r="15" spans="1:17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</row>
    <row r="16" spans="1:17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</row>
    <row r="17" spans="1:17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</row>
    <row r="18" spans="1:17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</row>
    <row r="19" spans="1:175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</row>
    <row r="20" spans="1:175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</row>
    <row r="21" spans="1:175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</row>
    <row r="22" spans="1:17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</row>
    <row r="23" spans="1:175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8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</row>
    <row r="24" spans="1:17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</row>
    <row r="25" spans="1:17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</row>
    <row r="26" spans="1:17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</row>
    <row r="27" spans="1:17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</row>
    <row r="28" spans="1:175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</row>
    <row r="29" spans="1:175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</row>
    <row r="30" spans="1:17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</row>
    <row r="31" spans="1:17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</row>
    <row r="32" spans="1:17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</row>
    <row r="33" spans="1:17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</row>
    <row r="34" spans="1:17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</row>
    <row r="35" spans="1:17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</row>
    <row r="36" spans="1:17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</row>
    <row r="37" spans="1:17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</row>
    <row r="38" spans="1:1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</row>
    <row r="39" spans="1:17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</row>
    <row r="40" spans="1:17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</row>
    <row r="41" spans="1:1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</row>
    <row r="42" spans="1:17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</row>
    <row r="43" spans="1:17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</row>
    <row r="44" spans="1:175" x14ac:dyDescent="0.25"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</row>
    <row r="45" spans="1:175" x14ac:dyDescent="0.25"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</row>
    <row r="46" spans="1:175" x14ac:dyDescent="0.25"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</row>
    <row r="47" spans="1:175" x14ac:dyDescent="0.25"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</row>
    <row r="48" spans="1:175" x14ac:dyDescent="0.25"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</row>
    <row r="49" spans="71:175" x14ac:dyDescent="0.25"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/>
  <dimension ref="A1:M157"/>
  <sheetViews>
    <sheetView topLeftCell="A43" zoomScaleNormal="100" workbookViewId="0">
      <selection activeCell="M6" sqref="M6"/>
    </sheetView>
  </sheetViews>
  <sheetFormatPr defaultRowHeight="15" x14ac:dyDescent="0.25"/>
  <cols>
    <col min="1" max="1" width="17.42578125" bestFit="1" customWidth="1"/>
    <col min="2" max="2" width="16" bestFit="1" customWidth="1"/>
    <col min="3" max="3" width="10" bestFit="1" customWidth="1"/>
    <col min="4" max="4" width="10.42578125" bestFit="1" customWidth="1"/>
    <col min="5" max="5" width="13.140625" bestFit="1" customWidth="1"/>
    <col min="6" max="6" width="13.28515625" bestFit="1" customWidth="1"/>
    <col min="7" max="7" width="15.7109375" bestFit="1" customWidth="1"/>
    <col min="8" max="8" width="17.28515625" bestFit="1" customWidth="1"/>
    <col min="13" max="13" width="10.5703125" bestFit="1" customWidth="1"/>
  </cols>
  <sheetData>
    <row r="1" spans="1:13" x14ac:dyDescent="0.25">
      <c r="A1" s="6" t="s">
        <v>2</v>
      </c>
      <c r="B1" s="6" t="s">
        <v>13</v>
      </c>
      <c r="C1" s="6" t="s">
        <v>9</v>
      </c>
      <c r="D1" s="6" t="s">
        <v>1</v>
      </c>
      <c r="E1" s="6" t="s">
        <v>22</v>
      </c>
      <c r="F1" s="6" t="s">
        <v>23</v>
      </c>
      <c r="G1" s="6" t="s">
        <v>24</v>
      </c>
      <c r="H1" s="6" t="s">
        <v>25</v>
      </c>
    </row>
    <row r="2" spans="1:13" x14ac:dyDescent="0.25">
      <c r="A2" s="1">
        <v>46082</v>
      </c>
      <c r="B2" s="1" t="str">
        <f>TEXT(A2,"dddd")</f>
        <v>domingo</v>
      </c>
      <c r="C2" s="2" t="str">
        <f>IF(OR(B2="sábado",B2="domingo"),"não útil","útil")</f>
        <v>não útil</v>
      </c>
      <c r="D2" s="3" t="str" cm="1">
        <f t="array" ref="D2">INDEX($L$2:$L$6,IF(MOD(ROW(),5)=0,5,MOD(ROW(),5)))</f>
        <v>Teclado</v>
      </c>
      <c r="E2" t="str">
        <f>IF(OR(D2="Teclado",D2="Monitor",D2="Mouse"),"informatica","papelaria")</f>
        <v>informatica</v>
      </c>
      <c r="F2">
        <v>8</v>
      </c>
      <c r="G2" s="4">
        <f>VLOOKUP(D2,$L$2:$M$6,2,FALSE)</f>
        <v>61.9</v>
      </c>
      <c r="H2" s="4">
        <f>PRODUCT(G2,F2)</f>
        <v>495.2</v>
      </c>
      <c r="L2" t="s">
        <v>6</v>
      </c>
      <c r="M2" s="4">
        <v>29.9</v>
      </c>
    </row>
    <row r="3" spans="1:13" x14ac:dyDescent="0.25">
      <c r="A3" s="1">
        <f>$A$2+INT((ROW()-2)/5)</f>
        <v>46082</v>
      </c>
      <c r="B3" s="1" t="str">
        <f t="shared" ref="B3:B66" si="0">TEXT(A3,"dddd")</f>
        <v>domingo</v>
      </c>
      <c r="C3" s="2" t="str">
        <f t="shared" ref="C3:C66" si="1">IF(OR(B3="sábado",B3="domingo"),"não útil","útil")</f>
        <v>não útil</v>
      </c>
      <c r="D3" s="3" t="str" cm="1">
        <f t="array" ref="D3">INDEX($L$2:$L$6,IF(MOD(ROW(),5)=0,5,MOD(ROW(),5)))</f>
        <v>Monitor</v>
      </c>
      <c r="E3" t="str">
        <f t="shared" ref="E3:E66" si="2">IF(OR(D3="Teclado",D3="Monitor",D3="Mouse"),"informatica","papelaria")</f>
        <v>informatica</v>
      </c>
      <c r="F3">
        <v>4</v>
      </c>
      <c r="G3" s="4">
        <f t="shared" ref="G3:G66" si="3">VLOOKUP(D3,$L$2:$M$6,2,FALSE)</f>
        <v>499.99</v>
      </c>
      <c r="H3" s="4">
        <f t="shared" ref="H3:H66" si="4">PRODUCT(G3,F3)</f>
        <v>1999.96</v>
      </c>
      <c r="L3" t="s">
        <v>7</v>
      </c>
      <c r="M3" s="4">
        <v>61.9</v>
      </c>
    </row>
    <row r="4" spans="1:13" x14ac:dyDescent="0.25">
      <c r="A4" s="1">
        <f t="shared" ref="A4:A67" si="5">$A$2+INT((ROW()-2)/5)</f>
        <v>46082</v>
      </c>
      <c r="B4" s="1" t="str">
        <f t="shared" si="0"/>
        <v>domingo</v>
      </c>
      <c r="C4" s="2" t="str">
        <f t="shared" si="1"/>
        <v>não útil</v>
      </c>
      <c r="D4" s="3" t="str" cm="1">
        <f t="array" ref="D4">INDEX($L$2:$L$6,IF(MOD(ROW(),5)=0,5,MOD(ROW(),5)))</f>
        <v>Caderno</v>
      </c>
      <c r="E4" t="str">
        <f t="shared" si="2"/>
        <v>papelaria</v>
      </c>
      <c r="F4">
        <v>3</v>
      </c>
      <c r="G4" s="4">
        <f t="shared" si="3"/>
        <v>24.99</v>
      </c>
      <c r="H4" s="4">
        <f t="shared" si="4"/>
        <v>74.97</v>
      </c>
      <c r="L4" t="s">
        <v>5</v>
      </c>
      <c r="M4" s="4">
        <v>499.99</v>
      </c>
    </row>
    <row r="5" spans="1:13" x14ac:dyDescent="0.25">
      <c r="A5" s="1">
        <f t="shared" si="5"/>
        <v>46082</v>
      </c>
      <c r="B5" s="1" t="str">
        <f t="shared" si="0"/>
        <v>domingo</v>
      </c>
      <c r="C5" s="2" t="str">
        <f t="shared" si="1"/>
        <v>não útil</v>
      </c>
      <c r="D5" s="3" t="str" cm="1">
        <f t="array" ref="D5">INDEX($L$2:$L$6,IF(MOD(ROW(),5)=0,5,MOD(ROW(),5)))</f>
        <v>Caneta</v>
      </c>
      <c r="E5" t="str">
        <f t="shared" si="2"/>
        <v>papelaria</v>
      </c>
      <c r="F5">
        <v>10</v>
      </c>
      <c r="G5" s="4">
        <f t="shared" si="3"/>
        <v>6.99</v>
      </c>
      <c r="H5" s="4">
        <f t="shared" si="4"/>
        <v>69.900000000000006</v>
      </c>
      <c r="L5" t="s">
        <v>3</v>
      </c>
      <c r="M5" s="4">
        <v>24.99</v>
      </c>
    </row>
    <row r="6" spans="1:13" x14ac:dyDescent="0.25">
      <c r="A6" s="1">
        <f t="shared" si="5"/>
        <v>46082</v>
      </c>
      <c r="B6" s="1" t="str">
        <f t="shared" si="0"/>
        <v>domingo</v>
      </c>
      <c r="C6" s="2" t="str">
        <f t="shared" si="1"/>
        <v>não útil</v>
      </c>
      <c r="D6" s="3" t="str" cm="1">
        <f t="array" ref="D6">INDEX($L$2:$L$6,IF(MOD(ROW(),5)=0,5,MOD(ROW(),5)))</f>
        <v>Mouse</v>
      </c>
      <c r="E6" t="str">
        <f t="shared" si="2"/>
        <v>informatica</v>
      </c>
      <c r="F6">
        <v>10</v>
      </c>
      <c r="G6" s="4">
        <f t="shared" si="3"/>
        <v>29.9</v>
      </c>
      <c r="H6" s="4">
        <f t="shared" si="4"/>
        <v>299</v>
      </c>
      <c r="L6" t="s">
        <v>4</v>
      </c>
      <c r="M6" s="4">
        <v>6.99</v>
      </c>
    </row>
    <row r="7" spans="1:13" x14ac:dyDescent="0.25">
      <c r="A7" s="1">
        <f t="shared" si="5"/>
        <v>46083</v>
      </c>
      <c r="B7" s="1" t="str">
        <f t="shared" si="0"/>
        <v>segunda-feira</v>
      </c>
      <c r="C7" s="2" t="str">
        <f t="shared" si="1"/>
        <v>útil</v>
      </c>
      <c r="D7" s="3" t="str" cm="1">
        <f t="array" ref="D7">INDEX($L$2:$L$6,IF(MOD(ROW(),5)=0,5,MOD(ROW(),5)))</f>
        <v>Teclado</v>
      </c>
      <c r="E7" t="str">
        <f t="shared" si="2"/>
        <v>informatica</v>
      </c>
      <c r="F7">
        <v>9</v>
      </c>
      <c r="G7" s="4">
        <f t="shared" si="3"/>
        <v>61.9</v>
      </c>
      <c r="H7" s="4">
        <f t="shared" si="4"/>
        <v>557.1</v>
      </c>
    </row>
    <row r="8" spans="1:13" x14ac:dyDescent="0.25">
      <c r="A8" s="1">
        <f t="shared" si="5"/>
        <v>46083</v>
      </c>
      <c r="B8" s="1" t="str">
        <f t="shared" si="0"/>
        <v>segunda-feira</v>
      </c>
      <c r="C8" s="2" t="str">
        <f t="shared" si="1"/>
        <v>útil</v>
      </c>
      <c r="D8" s="3" t="str" cm="1">
        <f t="array" ref="D8">INDEX($L$2:$L$6,IF(MOD(ROW(),5)=0,5,MOD(ROW(),5)))</f>
        <v>Monitor</v>
      </c>
      <c r="E8" t="str">
        <f t="shared" si="2"/>
        <v>informatica</v>
      </c>
      <c r="F8">
        <v>7</v>
      </c>
      <c r="G8" s="4">
        <f t="shared" si="3"/>
        <v>499.99</v>
      </c>
      <c r="H8" s="4">
        <f t="shared" si="4"/>
        <v>3499.9300000000003</v>
      </c>
    </row>
    <row r="9" spans="1:13" x14ac:dyDescent="0.25">
      <c r="A9" s="1">
        <f t="shared" si="5"/>
        <v>46083</v>
      </c>
      <c r="B9" s="1" t="str">
        <f t="shared" si="0"/>
        <v>segunda-feira</v>
      </c>
      <c r="C9" s="2" t="str">
        <f t="shared" si="1"/>
        <v>útil</v>
      </c>
      <c r="D9" s="3" t="str" cm="1">
        <f t="array" ref="D9">INDEX($L$2:$L$6,IF(MOD(ROW(),5)=0,5,MOD(ROW(),5)))</f>
        <v>Caderno</v>
      </c>
      <c r="E9" t="str">
        <f t="shared" si="2"/>
        <v>papelaria</v>
      </c>
      <c r="F9">
        <v>5</v>
      </c>
      <c r="G9" s="4">
        <f t="shared" si="3"/>
        <v>24.99</v>
      </c>
      <c r="H9" s="4">
        <f t="shared" si="4"/>
        <v>124.94999999999999</v>
      </c>
    </row>
    <row r="10" spans="1:13" x14ac:dyDescent="0.25">
      <c r="A10" s="1">
        <f t="shared" si="5"/>
        <v>46083</v>
      </c>
      <c r="B10" s="1" t="str">
        <f t="shared" si="0"/>
        <v>segunda-feira</v>
      </c>
      <c r="C10" s="2" t="str">
        <f t="shared" si="1"/>
        <v>útil</v>
      </c>
      <c r="D10" s="3" t="str" cm="1">
        <f t="array" ref="D10">INDEX($L$2:$L$6,IF(MOD(ROW(),5)=0,5,MOD(ROW(),5)))</f>
        <v>Caneta</v>
      </c>
      <c r="E10" t="str">
        <f t="shared" si="2"/>
        <v>papelaria</v>
      </c>
      <c r="F10">
        <v>5</v>
      </c>
      <c r="G10" s="4">
        <f t="shared" si="3"/>
        <v>6.99</v>
      </c>
      <c r="H10" s="4">
        <f t="shared" si="4"/>
        <v>34.950000000000003</v>
      </c>
    </row>
    <row r="11" spans="1:13" x14ac:dyDescent="0.25">
      <c r="A11" s="1">
        <f t="shared" si="5"/>
        <v>46083</v>
      </c>
      <c r="B11" s="1" t="str">
        <f t="shared" si="0"/>
        <v>segunda-feira</v>
      </c>
      <c r="C11" s="2" t="str">
        <f t="shared" si="1"/>
        <v>útil</v>
      </c>
      <c r="D11" s="3" t="str" cm="1">
        <f t="array" ref="D11">INDEX($L$2:$L$6,IF(MOD(ROW(),5)=0,5,MOD(ROW(),5)))</f>
        <v>Mouse</v>
      </c>
      <c r="E11" t="str">
        <f t="shared" si="2"/>
        <v>informatica</v>
      </c>
      <c r="F11">
        <v>7</v>
      </c>
      <c r="G11" s="4">
        <f t="shared" si="3"/>
        <v>29.9</v>
      </c>
      <c r="H11" s="4">
        <f t="shared" si="4"/>
        <v>209.29999999999998</v>
      </c>
    </row>
    <row r="12" spans="1:13" x14ac:dyDescent="0.25">
      <c r="A12" s="1">
        <f t="shared" si="5"/>
        <v>46084</v>
      </c>
      <c r="B12" s="1" t="str">
        <f t="shared" si="0"/>
        <v>terça-feira</v>
      </c>
      <c r="C12" s="2" t="str">
        <f t="shared" si="1"/>
        <v>útil</v>
      </c>
      <c r="D12" s="3" t="str" cm="1">
        <f t="array" ref="D12">INDEX($L$2:$L$6,IF(MOD(ROW(),5)=0,5,MOD(ROW(),5)))</f>
        <v>Teclado</v>
      </c>
      <c r="E12" t="str">
        <f t="shared" si="2"/>
        <v>informatica</v>
      </c>
      <c r="F12">
        <v>5</v>
      </c>
      <c r="G12" s="4">
        <f t="shared" si="3"/>
        <v>61.9</v>
      </c>
      <c r="H12" s="4">
        <f t="shared" si="4"/>
        <v>309.5</v>
      </c>
    </row>
    <row r="13" spans="1:13" x14ac:dyDescent="0.25">
      <c r="A13" s="1">
        <f t="shared" si="5"/>
        <v>46084</v>
      </c>
      <c r="B13" s="1" t="str">
        <f t="shared" si="0"/>
        <v>terça-feira</v>
      </c>
      <c r="C13" s="2" t="str">
        <f t="shared" si="1"/>
        <v>útil</v>
      </c>
      <c r="D13" s="3" t="str" cm="1">
        <f t="array" ref="D13">INDEX($L$2:$L$6,IF(MOD(ROW(),5)=0,5,MOD(ROW(),5)))</f>
        <v>Monitor</v>
      </c>
      <c r="E13" t="str">
        <f t="shared" si="2"/>
        <v>informatica</v>
      </c>
      <c r="F13">
        <v>4</v>
      </c>
      <c r="G13" s="4">
        <f t="shared" si="3"/>
        <v>499.99</v>
      </c>
      <c r="H13" s="4">
        <f t="shared" si="4"/>
        <v>1999.96</v>
      </c>
    </row>
    <row r="14" spans="1:13" x14ac:dyDescent="0.25">
      <c r="A14" s="1">
        <f t="shared" si="5"/>
        <v>46084</v>
      </c>
      <c r="B14" s="1" t="str">
        <f t="shared" si="0"/>
        <v>terça-feira</v>
      </c>
      <c r="C14" s="2" t="str">
        <f t="shared" si="1"/>
        <v>útil</v>
      </c>
      <c r="D14" s="3" t="str" cm="1">
        <f t="array" ref="D14">INDEX($L$2:$L$6,IF(MOD(ROW(),5)=0,5,MOD(ROW(),5)))</f>
        <v>Caderno</v>
      </c>
      <c r="E14" t="str">
        <f t="shared" si="2"/>
        <v>papelaria</v>
      </c>
      <c r="F14">
        <v>7</v>
      </c>
      <c r="G14" s="4">
        <f t="shared" si="3"/>
        <v>24.99</v>
      </c>
      <c r="H14" s="4">
        <f t="shared" si="4"/>
        <v>174.92999999999998</v>
      </c>
    </row>
    <row r="15" spans="1:13" x14ac:dyDescent="0.25">
      <c r="A15" s="1">
        <f t="shared" si="5"/>
        <v>46084</v>
      </c>
      <c r="B15" s="1" t="str">
        <f t="shared" si="0"/>
        <v>terça-feira</v>
      </c>
      <c r="C15" s="2" t="str">
        <f t="shared" si="1"/>
        <v>útil</v>
      </c>
      <c r="D15" s="3" t="str" cm="1">
        <f t="array" ref="D15">INDEX($L$2:$L$6,IF(MOD(ROW(),5)=0,5,MOD(ROW(),5)))</f>
        <v>Caneta</v>
      </c>
      <c r="E15" t="str">
        <f t="shared" si="2"/>
        <v>papelaria</v>
      </c>
      <c r="F15">
        <v>6</v>
      </c>
      <c r="G15" s="4">
        <f t="shared" si="3"/>
        <v>6.99</v>
      </c>
      <c r="H15" s="4">
        <f t="shared" si="4"/>
        <v>41.94</v>
      </c>
    </row>
    <row r="16" spans="1:13" x14ac:dyDescent="0.25">
      <c r="A16" s="1">
        <f t="shared" si="5"/>
        <v>46084</v>
      </c>
      <c r="B16" s="1" t="str">
        <f t="shared" si="0"/>
        <v>terça-feira</v>
      </c>
      <c r="C16" s="2" t="str">
        <f t="shared" si="1"/>
        <v>útil</v>
      </c>
      <c r="D16" s="3" t="str" cm="1">
        <f t="array" ref="D16">INDEX($L$2:$L$6,IF(MOD(ROW(),5)=0,5,MOD(ROW(),5)))</f>
        <v>Mouse</v>
      </c>
      <c r="E16" t="str">
        <f t="shared" si="2"/>
        <v>informatica</v>
      </c>
      <c r="F16">
        <v>5</v>
      </c>
      <c r="G16" s="4">
        <f t="shared" si="3"/>
        <v>29.9</v>
      </c>
      <c r="H16" s="4">
        <f t="shared" si="4"/>
        <v>149.5</v>
      </c>
    </row>
    <row r="17" spans="1:8" x14ac:dyDescent="0.25">
      <c r="A17" s="1">
        <f t="shared" si="5"/>
        <v>46085</v>
      </c>
      <c r="B17" s="1" t="str">
        <f t="shared" si="0"/>
        <v>quarta-feira</v>
      </c>
      <c r="C17" s="2" t="str">
        <f t="shared" si="1"/>
        <v>útil</v>
      </c>
      <c r="D17" s="3" t="str" cm="1">
        <f t="array" ref="D17">INDEX($L$2:$L$6,IF(MOD(ROW(),5)=0,5,MOD(ROW(),5)))</f>
        <v>Teclado</v>
      </c>
      <c r="E17" t="str">
        <f t="shared" si="2"/>
        <v>informatica</v>
      </c>
      <c r="F17">
        <v>6</v>
      </c>
      <c r="G17" s="4">
        <f t="shared" si="3"/>
        <v>61.9</v>
      </c>
      <c r="H17" s="4">
        <f t="shared" si="4"/>
        <v>371.4</v>
      </c>
    </row>
    <row r="18" spans="1:8" x14ac:dyDescent="0.25">
      <c r="A18" s="1">
        <f t="shared" si="5"/>
        <v>46085</v>
      </c>
      <c r="B18" s="1" t="str">
        <f t="shared" si="0"/>
        <v>quarta-feira</v>
      </c>
      <c r="C18" s="2" t="str">
        <f t="shared" si="1"/>
        <v>útil</v>
      </c>
      <c r="D18" s="3" t="str" cm="1">
        <f t="array" ref="D18">INDEX($L$2:$L$6,IF(MOD(ROW(),5)=0,5,MOD(ROW(),5)))</f>
        <v>Monitor</v>
      </c>
      <c r="E18" t="str">
        <f t="shared" si="2"/>
        <v>informatica</v>
      </c>
      <c r="F18">
        <v>5</v>
      </c>
      <c r="G18" s="4">
        <f t="shared" si="3"/>
        <v>499.99</v>
      </c>
      <c r="H18" s="4">
        <f t="shared" si="4"/>
        <v>2499.9499999999998</v>
      </c>
    </row>
    <row r="19" spans="1:8" x14ac:dyDescent="0.25">
      <c r="A19" s="1">
        <f t="shared" si="5"/>
        <v>46085</v>
      </c>
      <c r="B19" s="1" t="str">
        <f t="shared" si="0"/>
        <v>quarta-feira</v>
      </c>
      <c r="C19" s="2" t="str">
        <f t="shared" si="1"/>
        <v>útil</v>
      </c>
      <c r="D19" s="3" t="str" cm="1">
        <f t="array" ref="D19">INDEX($L$2:$L$6,IF(MOD(ROW(),5)=0,5,MOD(ROW(),5)))</f>
        <v>Caderno</v>
      </c>
      <c r="E19" t="str">
        <f t="shared" si="2"/>
        <v>papelaria</v>
      </c>
      <c r="F19">
        <v>4</v>
      </c>
      <c r="G19" s="4">
        <f t="shared" si="3"/>
        <v>24.99</v>
      </c>
      <c r="H19" s="4">
        <f t="shared" si="4"/>
        <v>99.96</v>
      </c>
    </row>
    <row r="20" spans="1:8" x14ac:dyDescent="0.25">
      <c r="A20" s="1">
        <f t="shared" si="5"/>
        <v>46085</v>
      </c>
      <c r="B20" s="1" t="str">
        <f t="shared" si="0"/>
        <v>quarta-feira</v>
      </c>
      <c r="C20" s="2" t="str">
        <f t="shared" si="1"/>
        <v>útil</v>
      </c>
      <c r="D20" s="3" t="str" cm="1">
        <f t="array" ref="D20">INDEX($L$2:$L$6,IF(MOD(ROW(),5)=0,5,MOD(ROW(),5)))</f>
        <v>Caneta</v>
      </c>
      <c r="E20" t="str">
        <f t="shared" si="2"/>
        <v>papelaria</v>
      </c>
      <c r="F20">
        <v>2</v>
      </c>
      <c r="G20" s="4">
        <f t="shared" si="3"/>
        <v>6.99</v>
      </c>
      <c r="H20" s="4">
        <f t="shared" si="4"/>
        <v>13.98</v>
      </c>
    </row>
    <row r="21" spans="1:8" x14ac:dyDescent="0.25">
      <c r="A21" s="1">
        <f t="shared" si="5"/>
        <v>46085</v>
      </c>
      <c r="B21" s="1" t="str">
        <f t="shared" si="0"/>
        <v>quarta-feira</v>
      </c>
      <c r="C21" s="2" t="str">
        <f t="shared" si="1"/>
        <v>útil</v>
      </c>
      <c r="D21" s="3" t="str" cm="1">
        <f t="array" ref="D21">INDEX($L$2:$L$6,IF(MOD(ROW(),5)=0,5,MOD(ROW(),5)))</f>
        <v>Mouse</v>
      </c>
      <c r="E21" t="str">
        <f t="shared" si="2"/>
        <v>informatica</v>
      </c>
      <c r="F21">
        <v>9</v>
      </c>
      <c r="G21" s="4">
        <f t="shared" si="3"/>
        <v>29.9</v>
      </c>
      <c r="H21" s="4">
        <f t="shared" si="4"/>
        <v>269.09999999999997</v>
      </c>
    </row>
    <row r="22" spans="1:8" x14ac:dyDescent="0.25">
      <c r="A22" s="1">
        <f t="shared" si="5"/>
        <v>46086</v>
      </c>
      <c r="B22" s="1" t="str">
        <f t="shared" si="0"/>
        <v>quinta-feira</v>
      </c>
      <c r="C22" s="2" t="str">
        <f t="shared" si="1"/>
        <v>útil</v>
      </c>
      <c r="D22" s="3" t="str" cm="1">
        <f t="array" ref="D22">INDEX($L$2:$L$6,IF(MOD(ROW(),5)=0,5,MOD(ROW(),5)))</f>
        <v>Teclado</v>
      </c>
      <c r="E22" t="str">
        <f t="shared" si="2"/>
        <v>informatica</v>
      </c>
      <c r="F22">
        <v>7</v>
      </c>
      <c r="G22" s="4">
        <f t="shared" si="3"/>
        <v>61.9</v>
      </c>
      <c r="H22" s="4">
        <f t="shared" si="4"/>
        <v>433.3</v>
      </c>
    </row>
    <row r="23" spans="1:8" x14ac:dyDescent="0.25">
      <c r="A23" s="1">
        <f t="shared" si="5"/>
        <v>46086</v>
      </c>
      <c r="B23" s="1" t="str">
        <f t="shared" si="0"/>
        <v>quinta-feira</v>
      </c>
      <c r="C23" s="2" t="str">
        <f t="shared" si="1"/>
        <v>útil</v>
      </c>
      <c r="D23" s="3" t="str" cm="1">
        <f t="array" ref="D23">INDEX($L$2:$L$6,IF(MOD(ROW(),5)=0,5,MOD(ROW(),5)))</f>
        <v>Monitor</v>
      </c>
      <c r="E23" t="str">
        <f t="shared" si="2"/>
        <v>informatica</v>
      </c>
      <c r="F23">
        <v>7</v>
      </c>
      <c r="G23" s="4">
        <f t="shared" si="3"/>
        <v>499.99</v>
      </c>
      <c r="H23" s="4">
        <f t="shared" si="4"/>
        <v>3499.9300000000003</v>
      </c>
    </row>
    <row r="24" spans="1:8" x14ac:dyDescent="0.25">
      <c r="A24" s="1">
        <f t="shared" si="5"/>
        <v>46086</v>
      </c>
      <c r="B24" s="1" t="str">
        <f t="shared" si="0"/>
        <v>quinta-feira</v>
      </c>
      <c r="C24" s="2" t="str">
        <f t="shared" si="1"/>
        <v>útil</v>
      </c>
      <c r="D24" s="3" t="str" cm="1">
        <f t="array" ref="D24">INDEX($L$2:$L$6,IF(MOD(ROW(),5)=0,5,MOD(ROW(),5)))</f>
        <v>Caderno</v>
      </c>
      <c r="E24" t="str">
        <f t="shared" si="2"/>
        <v>papelaria</v>
      </c>
      <c r="F24">
        <v>1</v>
      </c>
      <c r="G24" s="4">
        <f t="shared" si="3"/>
        <v>24.99</v>
      </c>
      <c r="H24" s="4">
        <f t="shared" si="4"/>
        <v>24.99</v>
      </c>
    </row>
    <row r="25" spans="1:8" x14ac:dyDescent="0.25">
      <c r="A25" s="1">
        <f t="shared" si="5"/>
        <v>46086</v>
      </c>
      <c r="B25" s="1" t="str">
        <f t="shared" si="0"/>
        <v>quinta-feira</v>
      </c>
      <c r="C25" s="2" t="str">
        <f t="shared" si="1"/>
        <v>útil</v>
      </c>
      <c r="D25" s="3" t="str" cm="1">
        <f t="array" ref="D25">INDEX($L$2:$L$6,IF(MOD(ROW(),5)=0,5,MOD(ROW(),5)))</f>
        <v>Caneta</v>
      </c>
      <c r="E25" t="str">
        <f t="shared" si="2"/>
        <v>papelaria</v>
      </c>
      <c r="F25">
        <v>2</v>
      </c>
      <c r="G25" s="4">
        <f t="shared" si="3"/>
        <v>6.99</v>
      </c>
      <c r="H25" s="4">
        <f t="shared" si="4"/>
        <v>13.98</v>
      </c>
    </row>
    <row r="26" spans="1:8" x14ac:dyDescent="0.25">
      <c r="A26" s="1">
        <f t="shared" si="5"/>
        <v>46086</v>
      </c>
      <c r="B26" s="1" t="str">
        <f t="shared" si="0"/>
        <v>quinta-feira</v>
      </c>
      <c r="C26" s="2" t="str">
        <f t="shared" si="1"/>
        <v>útil</v>
      </c>
      <c r="D26" s="3" t="str" cm="1">
        <f t="array" ref="D26">INDEX($L$2:$L$6,IF(MOD(ROW(),5)=0,5,MOD(ROW(),5)))</f>
        <v>Mouse</v>
      </c>
      <c r="E26" t="str">
        <f t="shared" si="2"/>
        <v>informatica</v>
      </c>
      <c r="F26">
        <v>9</v>
      </c>
      <c r="G26" s="4">
        <f t="shared" si="3"/>
        <v>29.9</v>
      </c>
      <c r="H26" s="4">
        <f t="shared" si="4"/>
        <v>269.09999999999997</v>
      </c>
    </row>
    <row r="27" spans="1:8" x14ac:dyDescent="0.25">
      <c r="A27" s="1">
        <f t="shared" si="5"/>
        <v>46087</v>
      </c>
      <c r="B27" s="1" t="str">
        <f t="shared" si="0"/>
        <v>sexta-feira</v>
      </c>
      <c r="C27" s="2" t="str">
        <f t="shared" si="1"/>
        <v>útil</v>
      </c>
      <c r="D27" s="3" t="str" cm="1">
        <f t="array" ref="D27">INDEX($L$2:$L$6,IF(MOD(ROW(),5)=0,5,MOD(ROW(),5)))</f>
        <v>Teclado</v>
      </c>
      <c r="E27" t="str">
        <f t="shared" si="2"/>
        <v>informatica</v>
      </c>
      <c r="F27">
        <v>10</v>
      </c>
      <c r="G27" s="4">
        <f t="shared" si="3"/>
        <v>61.9</v>
      </c>
      <c r="H27" s="4">
        <f t="shared" si="4"/>
        <v>619</v>
      </c>
    </row>
    <row r="28" spans="1:8" x14ac:dyDescent="0.25">
      <c r="A28" s="1">
        <f t="shared" si="5"/>
        <v>46087</v>
      </c>
      <c r="B28" s="1" t="str">
        <f t="shared" si="0"/>
        <v>sexta-feira</v>
      </c>
      <c r="C28" s="2" t="str">
        <f t="shared" si="1"/>
        <v>útil</v>
      </c>
      <c r="D28" s="3" t="str" cm="1">
        <f t="array" ref="D28">INDEX($L$2:$L$6,IF(MOD(ROW(),5)=0,5,MOD(ROW(),5)))</f>
        <v>Monitor</v>
      </c>
      <c r="E28" t="str">
        <f t="shared" si="2"/>
        <v>informatica</v>
      </c>
      <c r="F28">
        <v>4</v>
      </c>
      <c r="G28" s="4">
        <f t="shared" si="3"/>
        <v>499.99</v>
      </c>
      <c r="H28" s="4">
        <f t="shared" si="4"/>
        <v>1999.96</v>
      </c>
    </row>
    <row r="29" spans="1:8" x14ac:dyDescent="0.25">
      <c r="A29" s="1">
        <f t="shared" si="5"/>
        <v>46087</v>
      </c>
      <c r="B29" s="1" t="str">
        <f t="shared" si="0"/>
        <v>sexta-feira</v>
      </c>
      <c r="C29" s="2" t="str">
        <f t="shared" si="1"/>
        <v>útil</v>
      </c>
      <c r="D29" s="3" t="str" cm="1">
        <f t="array" ref="D29">INDEX($L$2:$L$6,IF(MOD(ROW(),5)=0,5,MOD(ROW(),5)))</f>
        <v>Caderno</v>
      </c>
      <c r="E29" t="str">
        <f t="shared" si="2"/>
        <v>papelaria</v>
      </c>
      <c r="F29">
        <v>1</v>
      </c>
      <c r="G29" s="4">
        <f t="shared" si="3"/>
        <v>24.99</v>
      </c>
      <c r="H29" s="4">
        <f t="shared" si="4"/>
        <v>24.99</v>
      </c>
    </row>
    <row r="30" spans="1:8" x14ac:dyDescent="0.25">
      <c r="A30" s="1">
        <f t="shared" si="5"/>
        <v>46087</v>
      </c>
      <c r="B30" s="1" t="str">
        <f t="shared" si="0"/>
        <v>sexta-feira</v>
      </c>
      <c r="C30" s="2" t="str">
        <f t="shared" si="1"/>
        <v>útil</v>
      </c>
      <c r="D30" s="3" t="str" cm="1">
        <f t="array" ref="D30">INDEX($L$2:$L$6,IF(MOD(ROW(),5)=0,5,MOD(ROW(),5)))</f>
        <v>Caneta</v>
      </c>
      <c r="E30" t="str">
        <f t="shared" si="2"/>
        <v>papelaria</v>
      </c>
      <c r="F30">
        <v>2</v>
      </c>
      <c r="G30" s="4">
        <f t="shared" si="3"/>
        <v>6.99</v>
      </c>
      <c r="H30" s="4">
        <f t="shared" si="4"/>
        <v>13.98</v>
      </c>
    </row>
    <row r="31" spans="1:8" x14ac:dyDescent="0.25">
      <c r="A31" s="1">
        <f t="shared" si="5"/>
        <v>46087</v>
      </c>
      <c r="B31" s="1" t="str">
        <f t="shared" si="0"/>
        <v>sexta-feira</v>
      </c>
      <c r="C31" s="2" t="str">
        <f t="shared" si="1"/>
        <v>útil</v>
      </c>
      <c r="D31" s="3" t="str" cm="1">
        <f t="array" ref="D31">INDEX($L$2:$L$6,IF(MOD(ROW(),5)=0,5,MOD(ROW(),5)))</f>
        <v>Mouse</v>
      </c>
      <c r="E31" t="str">
        <f t="shared" si="2"/>
        <v>informatica</v>
      </c>
      <c r="F31">
        <v>10</v>
      </c>
      <c r="G31" s="4">
        <f t="shared" si="3"/>
        <v>29.9</v>
      </c>
      <c r="H31" s="4">
        <f t="shared" si="4"/>
        <v>299</v>
      </c>
    </row>
    <row r="32" spans="1:8" x14ac:dyDescent="0.25">
      <c r="A32" s="1">
        <f t="shared" si="5"/>
        <v>46088</v>
      </c>
      <c r="B32" s="1" t="str">
        <f t="shared" si="0"/>
        <v>sábado</v>
      </c>
      <c r="C32" s="2" t="str">
        <f t="shared" si="1"/>
        <v>não útil</v>
      </c>
      <c r="D32" s="3" t="str" cm="1">
        <f t="array" ref="D32">INDEX($L$2:$L$6,IF(MOD(ROW(),5)=0,5,MOD(ROW(),5)))</f>
        <v>Teclado</v>
      </c>
      <c r="E32" t="str">
        <f t="shared" si="2"/>
        <v>informatica</v>
      </c>
      <c r="F32">
        <v>8</v>
      </c>
      <c r="G32" s="4">
        <f t="shared" si="3"/>
        <v>61.9</v>
      </c>
      <c r="H32" s="4">
        <f t="shared" si="4"/>
        <v>495.2</v>
      </c>
    </row>
    <row r="33" spans="1:8" x14ac:dyDescent="0.25">
      <c r="A33" s="1">
        <f t="shared" si="5"/>
        <v>46088</v>
      </c>
      <c r="B33" s="1" t="str">
        <f t="shared" si="0"/>
        <v>sábado</v>
      </c>
      <c r="C33" s="2" t="str">
        <f t="shared" si="1"/>
        <v>não útil</v>
      </c>
      <c r="D33" s="3" t="str" cm="1">
        <f t="array" ref="D33">INDEX($L$2:$L$6,IF(MOD(ROW(),5)=0,5,MOD(ROW(),5)))</f>
        <v>Monitor</v>
      </c>
      <c r="E33" t="str">
        <f t="shared" si="2"/>
        <v>informatica</v>
      </c>
      <c r="F33">
        <v>5</v>
      </c>
      <c r="G33" s="4">
        <f t="shared" si="3"/>
        <v>499.99</v>
      </c>
      <c r="H33" s="4">
        <f t="shared" si="4"/>
        <v>2499.9499999999998</v>
      </c>
    </row>
    <row r="34" spans="1:8" x14ac:dyDescent="0.25">
      <c r="A34" s="1">
        <f t="shared" si="5"/>
        <v>46088</v>
      </c>
      <c r="B34" s="1" t="str">
        <f t="shared" si="0"/>
        <v>sábado</v>
      </c>
      <c r="C34" s="2" t="str">
        <f t="shared" si="1"/>
        <v>não útil</v>
      </c>
      <c r="D34" s="3" t="str" cm="1">
        <f t="array" ref="D34">INDEX($L$2:$L$6,IF(MOD(ROW(),5)=0,5,MOD(ROW(),5)))</f>
        <v>Caderno</v>
      </c>
      <c r="E34" t="str">
        <f t="shared" si="2"/>
        <v>papelaria</v>
      </c>
      <c r="F34">
        <v>4</v>
      </c>
      <c r="G34" s="4">
        <f t="shared" si="3"/>
        <v>24.99</v>
      </c>
      <c r="H34" s="4">
        <f t="shared" si="4"/>
        <v>99.96</v>
      </c>
    </row>
    <row r="35" spans="1:8" x14ac:dyDescent="0.25">
      <c r="A35" s="1">
        <f t="shared" si="5"/>
        <v>46088</v>
      </c>
      <c r="B35" s="1" t="str">
        <f t="shared" si="0"/>
        <v>sábado</v>
      </c>
      <c r="C35" s="2" t="str">
        <f t="shared" si="1"/>
        <v>não útil</v>
      </c>
      <c r="D35" s="3" t="str" cm="1">
        <f t="array" ref="D35">INDEX($L$2:$L$6,IF(MOD(ROW(),5)=0,5,MOD(ROW(),5)))</f>
        <v>Caneta</v>
      </c>
      <c r="E35" t="str">
        <f t="shared" si="2"/>
        <v>papelaria</v>
      </c>
      <c r="F35">
        <v>2</v>
      </c>
      <c r="G35" s="4">
        <f t="shared" si="3"/>
        <v>6.99</v>
      </c>
      <c r="H35" s="4">
        <f t="shared" si="4"/>
        <v>13.98</v>
      </c>
    </row>
    <row r="36" spans="1:8" x14ac:dyDescent="0.25">
      <c r="A36" s="1">
        <f t="shared" si="5"/>
        <v>46088</v>
      </c>
      <c r="B36" s="1" t="str">
        <f t="shared" si="0"/>
        <v>sábado</v>
      </c>
      <c r="C36" s="2" t="str">
        <f t="shared" si="1"/>
        <v>não útil</v>
      </c>
      <c r="D36" s="3" t="str" cm="1">
        <f t="array" ref="D36">INDEX($L$2:$L$6,IF(MOD(ROW(),5)=0,5,MOD(ROW(),5)))</f>
        <v>Mouse</v>
      </c>
      <c r="E36" t="str">
        <f t="shared" si="2"/>
        <v>informatica</v>
      </c>
      <c r="F36">
        <v>4</v>
      </c>
      <c r="G36" s="4">
        <f t="shared" si="3"/>
        <v>29.9</v>
      </c>
      <c r="H36" s="4">
        <f t="shared" si="4"/>
        <v>119.6</v>
      </c>
    </row>
    <row r="37" spans="1:8" x14ac:dyDescent="0.25">
      <c r="A37" s="1">
        <f t="shared" si="5"/>
        <v>46089</v>
      </c>
      <c r="B37" s="1" t="str">
        <f t="shared" si="0"/>
        <v>domingo</v>
      </c>
      <c r="C37" s="2" t="str">
        <f t="shared" si="1"/>
        <v>não útil</v>
      </c>
      <c r="D37" s="3" t="str" cm="1">
        <f t="array" ref="D37">INDEX($L$2:$L$6,IF(MOD(ROW(),5)=0,5,MOD(ROW(),5)))</f>
        <v>Teclado</v>
      </c>
      <c r="E37" t="str">
        <f t="shared" si="2"/>
        <v>informatica</v>
      </c>
      <c r="F37">
        <v>8</v>
      </c>
      <c r="G37" s="4">
        <f t="shared" si="3"/>
        <v>61.9</v>
      </c>
      <c r="H37" s="4">
        <f t="shared" si="4"/>
        <v>495.2</v>
      </c>
    </row>
    <row r="38" spans="1:8" x14ac:dyDescent="0.25">
      <c r="A38" s="1">
        <f t="shared" si="5"/>
        <v>46089</v>
      </c>
      <c r="B38" s="1" t="str">
        <f t="shared" si="0"/>
        <v>domingo</v>
      </c>
      <c r="C38" s="2" t="str">
        <f t="shared" si="1"/>
        <v>não útil</v>
      </c>
      <c r="D38" s="3" t="str" cm="1">
        <f t="array" ref="D38">INDEX($L$2:$L$6,IF(MOD(ROW(),5)=0,5,MOD(ROW(),5)))</f>
        <v>Monitor</v>
      </c>
      <c r="E38" t="str">
        <f t="shared" si="2"/>
        <v>informatica</v>
      </c>
      <c r="F38">
        <v>10</v>
      </c>
      <c r="G38" s="4">
        <f t="shared" si="3"/>
        <v>499.99</v>
      </c>
      <c r="H38" s="4">
        <f t="shared" si="4"/>
        <v>4999.8999999999996</v>
      </c>
    </row>
    <row r="39" spans="1:8" x14ac:dyDescent="0.25">
      <c r="A39" s="1">
        <f t="shared" si="5"/>
        <v>46089</v>
      </c>
      <c r="B39" s="1" t="str">
        <f t="shared" si="0"/>
        <v>domingo</v>
      </c>
      <c r="C39" s="2" t="str">
        <f t="shared" si="1"/>
        <v>não útil</v>
      </c>
      <c r="D39" s="3" t="str" cm="1">
        <f t="array" ref="D39">INDEX($L$2:$L$6,IF(MOD(ROW(),5)=0,5,MOD(ROW(),5)))</f>
        <v>Caderno</v>
      </c>
      <c r="E39" t="str">
        <f t="shared" si="2"/>
        <v>papelaria</v>
      </c>
      <c r="F39">
        <v>7</v>
      </c>
      <c r="G39" s="4">
        <f t="shared" si="3"/>
        <v>24.99</v>
      </c>
      <c r="H39" s="4">
        <f t="shared" si="4"/>
        <v>174.92999999999998</v>
      </c>
    </row>
    <row r="40" spans="1:8" x14ac:dyDescent="0.25">
      <c r="A40" s="1">
        <f t="shared" si="5"/>
        <v>46089</v>
      </c>
      <c r="B40" s="1" t="str">
        <f t="shared" si="0"/>
        <v>domingo</v>
      </c>
      <c r="C40" s="2" t="str">
        <f t="shared" si="1"/>
        <v>não útil</v>
      </c>
      <c r="D40" s="3" t="str" cm="1">
        <f t="array" ref="D40">INDEX($L$2:$L$6,IF(MOD(ROW(),5)=0,5,MOD(ROW(),5)))</f>
        <v>Caneta</v>
      </c>
      <c r="E40" t="str">
        <f t="shared" si="2"/>
        <v>papelaria</v>
      </c>
      <c r="F40">
        <v>6</v>
      </c>
      <c r="G40" s="4">
        <f t="shared" si="3"/>
        <v>6.99</v>
      </c>
      <c r="H40" s="4">
        <f t="shared" si="4"/>
        <v>41.94</v>
      </c>
    </row>
    <row r="41" spans="1:8" x14ac:dyDescent="0.25">
      <c r="A41" s="1">
        <f t="shared" si="5"/>
        <v>46089</v>
      </c>
      <c r="B41" s="1" t="str">
        <f t="shared" si="0"/>
        <v>domingo</v>
      </c>
      <c r="C41" s="2" t="str">
        <f t="shared" si="1"/>
        <v>não útil</v>
      </c>
      <c r="D41" s="3" t="str" cm="1">
        <f t="array" ref="D41">INDEX($L$2:$L$6,IF(MOD(ROW(),5)=0,5,MOD(ROW(),5)))</f>
        <v>Mouse</v>
      </c>
      <c r="E41" t="str">
        <f t="shared" si="2"/>
        <v>informatica</v>
      </c>
      <c r="F41">
        <v>10</v>
      </c>
      <c r="G41" s="4">
        <f t="shared" si="3"/>
        <v>29.9</v>
      </c>
      <c r="H41" s="4">
        <f t="shared" si="4"/>
        <v>299</v>
      </c>
    </row>
    <row r="42" spans="1:8" x14ac:dyDescent="0.25">
      <c r="A42" s="1">
        <f t="shared" si="5"/>
        <v>46090</v>
      </c>
      <c r="B42" s="1" t="str">
        <f t="shared" si="0"/>
        <v>segunda-feira</v>
      </c>
      <c r="C42" s="2" t="str">
        <f t="shared" si="1"/>
        <v>útil</v>
      </c>
      <c r="D42" s="3" t="str" cm="1">
        <f t="array" ref="D42">INDEX($L$2:$L$6,IF(MOD(ROW(),5)=0,5,MOD(ROW(),5)))</f>
        <v>Teclado</v>
      </c>
      <c r="E42" t="str">
        <f t="shared" si="2"/>
        <v>informatica</v>
      </c>
      <c r="F42">
        <v>5</v>
      </c>
      <c r="G42" s="4">
        <f t="shared" si="3"/>
        <v>61.9</v>
      </c>
      <c r="H42" s="4">
        <f t="shared" si="4"/>
        <v>309.5</v>
      </c>
    </row>
    <row r="43" spans="1:8" x14ac:dyDescent="0.25">
      <c r="A43" s="1">
        <f t="shared" si="5"/>
        <v>46090</v>
      </c>
      <c r="B43" s="1" t="str">
        <f t="shared" si="0"/>
        <v>segunda-feira</v>
      </c>
      <c r="C43" s="2" t="str">
        <f t="shared" si="1"/>
        <v>útil</v>
      </c>
      <c r="D43" s="3" t="str" cm="1">
        <f t="array" ref="D43">INDEX($L$2:$L$6,IF(MOD(ROW(),5)=0,5,MOD(ROW(),5)))</f>
        <v>Monitor</v>
      </c>
      <c r="E43" t="str">
        <f t="shared" si="2"/>
        <v>informatica</v>
      </c>
      <c r="F43">
        <v>5</v>
      </c>
      <c r="G43" s="4">
        <f t="shared" si="3"/>
        <v>499.99</v>
      </c>
      <c r="H43" s="4">
        <f t="shared" si="4"/>
        <v>2499.9499999999998</v>
      </c>
    </row>
    <row r="44" spans="1:8" x14ac:dyDescent="0.25">
      <c r="A44" s="1">
        <f t="shared" si="5"/>
        <v>46090</v>
      </c>
      <c r="B44" s="1" t="str">
        <f t="shared" si="0"/>
        <v>segunda-feira</v>
      </c>
      <c r="C44" s="2" t="str">
        <f t="shared" si="1"/>
        <v>útil</v>
      </c>
      <c r="D44" s="3" t="str" cm="1">
        <f t="array" ref="D44">INDEX($L$2:$L$6,IF(MOD(ROW(),5)=0,5,MOD(ROW(),5)))</f>
        <v>Caderno</v>
      </c>
      <c r="E44" t="str">
        <f t="shared" si="2"/>
        <v>papelaria</v>
      </c>
      <c r="F44">
        <v>8</v>
      </c>
      <c r="G44" s="4">
        <f t="shared" si="3"/>
        <v>24.99</v>
      </c>
      <c r="H44" s="4">
        <f t="shared" si="4"/>
        <v>199.92</v>
      </c>
    </row>
    <row r="45" spans="1:8" x14ac:dyDescent="0.25">
      <c r="A45" s="1">
        <f t="shared" si="5"/>
        <v>46090</v>
      </c>
      <c r="B45" s="1" t="str">
        <f t="shared" si="0"/>
        <v>segunda-feira</v>
      </c>
      <c r="C45" s="2" t="str">
        <f t="shared" si="1"/>
        <v>útil</v>
      </c>
      <c r="D45" s="3" t="str" cm="1">
        <f t="array" ref="D45">INDEX($L$2:$L$6,IF(MOD(ROW(),5)=0,5,MOD(ROW(),5)))</f>
        <v>Caneta</v>
      </c>
      <c r="E45" t="str">
        <f t="shared" si="2"/>
        <v>papelaria</v>
      </c>
      <c r="F45">
        <v>9</v>
      </c>
      <c r="G45" s="4">
        <f t="shared" si="3"/>
        <v>6.99</v>
      </c>
      <c r="H45" s="4">
        <f t="shared" si="4"/>
        <v>62.910000000000004</v>
      </c>
    </row>
    <row r="46" spans="1:8" x14ac:dyDescent="0.25">
      <c r="A46" s="1">
        <f t="shared" si="5"/>
        <v>46090</v>
      </c>
      <c r="B46" s="1" t="str">
        <f t="shared" si="0"/>
        <v>segunda-feira</v>
      </c>
      <c r="C46" s="2" t="str">
        <f t="shared" si="1"/>
        <v>útil</v>
      </c>
      <c r="D46" s="3" t="str" cm="1">
        <f t="array" ref="D46">INDEX($L$2:$L$6,IF(MOD(ROW(),5)=0,5,MOD(ROW(),5)))</f>
        <v>Mouse</v>
      </c>
      <c r="E46" t="str">
        <f t="shared" si="2"/>
        <v>informatica</v>
      </c>
      <c r="F46">
        <v>5</v>
      </c>
      <c r="G46" s="4">
        <f t="shared" si="3"/>
        <v>29.9</v>
      </c>
      <c r="H46" s="4">
        <f t="shared" si="4"/>
        <v>149.5</v>
      </c>
    </row>
    <row r="47" spans="1:8" x14ac:dyDescent="0.25">
      <c r="A47" s="1">
        <f t="shared" si="5"/>
        <v>46091</v>
      </c>
      <c r="B47" s="1" t="str">
        <f t="shared" si="0"/>
        <v>terça-feira</v>
      </c>
      <c r="C47" s="2" t="str">
        <f t="shared" si="1"/>
        <v>útil</v>
      </c>
      <c r="D47" s="3" t="str" cm="1">
        <f t="array" ref="D47">INDEX($L$2:$L$6,IF(MOD(ROW(),5)=0,5,MOD(ROW(),5)))</f>
        <v>Teclado</v>
      </c>
      <c r="E47" t="str">
        <f t="shared" si="2"/>
        <v>informatica</v>
      </c>
      <c r="F47">
        <v>9</v>
      </c>
      <c r="G47" s="4">
        <f t="shared" si="3"/>
        <v>61.9</v>
      </c>
      <c r="H47" s="4">
        <f t="shared" si="4"/>
        <v>557.1</v>
      </c>
    </row>
    <row r="48" spans="1:8" x14ac:dyDescent="0.25">
      <c r="A48" s="1">
        <f t="shared" si="5"/>
        <v>46091</v>
      </c>
      <c r="B48" s="1" t="str">
        <f t="shared" si="0"/>
        <v>terça-feira</v>
      </c>
      <c r="C48" s="2" t="str">
        <f t="shared" si="1"/>
        <v>útil</v>
      </c>
      <c r="D48" s="3" t="str" cm="1">
        <f t="array" ref="D48">INDEX($L$2:$L$6,IF(MOD(ROW(),5)=0,5,MOD(ROW(),5)))</f>
        <v>Monitor</v>
      </c>
      <c r="E48" t="str">
        <f t="shared" si="2"/>
        <v>informatica</v>
      </c>
      <c r="F48">
        <v>6</v>
      </c>
      <c r="G48" s="4">
        <f t="shared" si="3"/>
        <v>499.99</v>
      </c>
      <c r="H48" s="4">
        <f t="shared" si="4"/>
        <v>2999.94</v>
      </c>
    </row>
    <row r="49" spans="1:8" x14ac:dyDescent="0.25">
      <c r="A49" s="1">
        <f t="shared" si="5"/>
        <v>46091</v>
      </c>
      <c r="B49" s="1" t="str">
        <f t="shared" si="0"/>
        <v>terça-feira</v>
      </c>
      <c r="C49" s="2" t="str">
        <f t="shared" si="1"/>
        <v>útil</v>
      </c>
      <c r="D49" s="3" t="str" cm="1">
        <f t="array" ref="D49">INDEX($L$2:$L$6,IF(MOD(ROW(),5)=0,5,MOD(ROW(),5)))</f>
        <v>Caderno</v>
      </c>
      <c r="E49" t="str">
        <f t="shared" si="2"/>
        <v>papelaria</v>
      </c>
      <c r="F49">
        <v>3</v>
      </c>
      <c r="G49" s="4">
        <f t="shared" si="3"/>
        <v>24.99</v>
      </c>
      <c r="H49" s="4">
        <f t="shared" si="4"/>
        <v>74.97</v>
      </c>
    </row>
    <row r="50" spans="1:8" x14ac:dyDescent="0.25">
      <c r="A50" s="1">
        <f t="shared" si="5"/>
        <v>46091</v>
      </c>
      <c r="B50" s="1" t="str">
        <f t="shared" si="0"/>
        <v>terça-feira</v>
      </c>
      <c r="C50" s="2" t="str">
        <f t="shared" si="1"/>
        <v>útil</v>
      </c>
      <c r="D50" s="3" t="str" cm="1">
        <f t="array" ref="D50">INDEX($L$2:$L$6,IF(MOD(ROW(),5)=0,5,MOD(ROW(),5)))</f>
        <v>Caneta</v>
      </c>
      <c r="E50" t="str">
        <f t="shared" si="2"/>
        <v>papelaria</v>
      </c>
      <c r="F50">
        <v>4</v>
      </c>
      <c r="G50" s="4">
        <f t="shared" si="3"/>
        <v>6.99</v>
      </c>
      <c r="H50" s="4">
        <f t="shared" si="4"/>
        <v>27.96</v>
      </c>
    </row>
    <row r="51" spans="1:8" x14ac:dyDescent="0.25">
      <c r="A51" s="1">
        <f t="shared" si="5"/>
        <v>46091</v>
      </c>
      <c r="B51" s="1" t="str">
        <f t="shared" si="0"/>
        <v>terça-feira</v>
      </c>
      <c r="C51" s="2" t="str">
        <f t="shared" si="1"/>
        <v>útil</v>
      </c>
      <c r="D51" s="3" t="str" cm="1">
        <f t="array" ref="D51">INDEX($L$2:$L$6,IF(MOD(ROW(),5)=0,5,MOD(ROW(),5)))</f>
        <v>Mouse</v>
      </c>
      <c r="E51" t="str">
        <f t="shared" si="2"/>
        <v>informatica</v>
      </c>
      <c r="F51">
        <v>6</v>
      </c>
      <c r="G51" s="4">
        <f t="shared" si="3"/>
        <v>29.9</v>
      </c>
      <c r="H51" s="4">
        <f t="shared" si="4"/>
        <v>179.39999999999998</v>
      </c>
    </row>
    <row r="52" spans="1:8" x14ac:dyDescent="0.25">
      <c r="A52" s="1">
        <f t="shared" si="5"/>
        <v>46092</v>
      </c>
      <c r="B52" s="1" t="str">
        <f t="shared" si="0"/>
        <v>quarta-feira</v>
      </c>
      <c r="C52" s="2" t="str">
        <f t="shared" si="1"/>
        <v>útil</v>
      </c>
      <c r="D52" s="3" t="str" cm="1">
        <f t="array" ref="D52">INDEX($L$2:$L$6,IF(MOD(ROW(),5)=0,5,MOD(ROW(),5)))</f>
        <v>Teclado</v>
      </c>
      <c r="E52" t="str">
        <f t="shared" si="2"/>
        <v>informatica</v>
      </c>
      <c r="F52">
        <v>10</v>
      </c>
      <c r="G52" s="4">
        <f t="shared" si="3"/>
        <v>61.9</v>
      </c>
      <c r="H52" s="4">
        <f t="shared" si="4"/>
        <v>619</v>
      </c>
    </row>
    <row r="53" spans="1:8" x14ac:dyDescent="0.25">
      <c r="A53" s="1">
        <f t="shared" si="5"/>
        <v>46092</v>
      </c>
      <c r="B53" s="1" t="str">
        <f t="shared" si="0"/>
        <v>quarta-feira</v>
      </c>
      <c r="C53" s="2" t="str">
        <f t="shared" si="1"/>
        <v>útil</v>
      </c>
      <c r="D53" s="3" t="str" cm="1">
        <f t="array" ref="D53">INDEX($L$2:$L$6,IF(MOD(ROW(),5)=0,5,MOD(ROW(),5)))</f>
        <v>Monitor</v>
      </c>
      <c r="E53" t="str">
        <f t="shared" si="2"/>
        <v>informatica</v>
      </c>
      <c r="F53">
        <v>9</v>
      </c>
      <c r="G53" s="4">
        <f t="shared" si="3"/>
        <v>499.99</v>
      </c>
      <c r="H53" s="4">
        <f t="shared" si="4"/>
        <v>4499.91</v>
      </c>
    </row>
    <row r="54" spans="1:8" x14ac:dyDescent="0.25">
      <c r="A54" s="1">
        <f t="shared" si="5"/>
        <v>46092</v>
      </c>
      <c r="B54" s="1" t="str">
        <f t="shared" si="0"/>
        <v>quarta-feira</v>
      </c>
      <c r="C54" s="2" t="str">
        <f t="shared" si="1"/>
        <v>útil</v>
      </c>
      <c r="D54" s="3" t="str" cm="1">
        <f t="array" ref="D54">INDEX($L$2:$L$6,IF(MOD(ROW(),5)=0,5,MOD(ROW(),5)))</f>
        <v>Caderno</v>
      </c>
      <c r="E54" t="str">
        <f t="shared" si="2"/>
        <v>papelaria</v>
      </c>
      <c r="F54">
        <v>8</v>
      </c>
      <c r="G54" s="4">
        <f t="shared" si="3"/>
        <v>24.99</v>
      </c>
      <c r="H54" s="4">
        <f t="shared" si="4"/>
        <v>199.92</v>
      </c>
    </row>
    <row r="55" spans="1:8" x14ac:dyDescent="0.25">
      <c r="A55" s="1">
        <f t="shared" si="5"/>
        <v>46092</v>
      </c>
      <c r="B55" s="1" t="str">
        <f t="shared" si="0"/>
        <v>quarta-feira</v>
      </c>
      <c r="C55" s="2" t="str">
        <f t="shared" si="1"/>
        <v>útil</v>
      </c>
      <c r="D55" s="3" t="str" cm="1">
        <f t="array" ref="D55">INDEX($L$2:$L$6,IF(MOD(ROW(),5)=0,5,MOD(ROW(),5)))</f>
        <v>Caneta</v>
      </c>
      <c r="E55" t="str">
        <f t="shared" si="2"/>
        <v>papelaria</v>
      </c>
      <c r="F55">
        <v>1</v>
      </c>
      <c r="G55" s="4">
        <f t="shared" si="3"/>
        <v>6.99</v>
      </c>
      <c r="H55" s="4">
        <f t="shared" si="4"/>
        <v>6.99</v>
      </c>
    </row>
    <row r="56" spans="1:8" x14ac:dyDescent="0.25">
      <c r="A56" s="1">
        <f t="shared" si="5"/>
        <v>46092</v>
      </c>
      <c r="B56" s="1" t="str">
        <f t="shared" si="0"/>
        <v>quarta-feira</v>
      </c>
      <c r="C56" s="2" t="str">
        <f t="shared" si="1"/>
        <v>útil</v>
      </c>
      <c r="D56" s="3" t="str" cm="1">
        <f t="array" ref="D56">INDEX($L$2:$L$6,IF(MOD(ROW(),5)=0,5,MOD(ROW(),5)))</f>
        <v>Mouse</v>
      </c>
      <c r="E56" t="str">
        <f t="shared" si="2"/>
        <v>informatica</v>
      </c>
      <c r="F56">
        <v>10</v>
      </c>
      <c r="G56" s="4">
        <f t="shared" si="3"/>
        <v>29.9</v>
      </c>
      <c r="H56" s="4">
        <f t="shared" si="4"/>
        <v>299</v>
      </c>
    </row>
    <row r="57" spans="1:8" x14ac:dyDescent="0.25">
      <c r="A57" s="1">
        <f t="shared" si="5"/>
        <v>46093</v>
      </c>
      <c r="B57" s="1" t="str">
        <f t="shared" si="0"/>
        <v>quinta-feira</v>
      </c>
      <c r="C57" s="2" t="str">
        <f t="shared" si="1"/>
        <v>útil</v>
      </c>
      <c r="D57" s="3" t="str" cm="1">
        <f t="array" ref="D57">INDEX($L$2:$L$6,IF(MOD(ROW(),5)=0,5,MOD(ROW(),5)))</f>
        <v>Teclado</v>
      </c>
      <c r="E57" t="str">
        <f t="shared" si="2"/>
        <v>informatica</v>
      </c>
      <c r="F57">
        <v>4</v>
      </c>
      <c r="G57" s="4">
        <f t="shared" si="3"/>
        <v>61.9</v>
      </c>
      <c r="H57" s="4">
        <f t="shared" si="4"/>
        <v>247.6</v>
      </c>
    </row>
    <row r="58" spans="1:8" x14ac:dyDescent="0.25">
      <c r="A58" s="1">
        <f t="shared" si="5"/>
        <v>46093</v>
      </c>
      <c r="B58" s="1" t="str">
        <f t="shared" si="0"/>
        <v>quinta-feira</v>
      </c>
      <c r="C58" s="2" t="str">
        <f t="shared" si="1"/>
        <v>útil</v>
      </c>
      <c r="D58" s="3" t="str" cm="1">
        <f t="array" ref="D58">INDEX($L$2:$L$6,IF(MOD(ROW(),5)=0,5,MOD(ROW(),5)))</f>
        <v>Monitor</v>
      </c>
      <c r="E58" t="str">
        <f t="shared" si="2"/>
        <v>informatica</v>
      </c>
      <c r="F58">
        <v>7</v>
      </c>
      <c r="G58" s="4">
        <f t="shared" si="3"/>
        <v>499.99</v>
      </c>
      <c r="H58" s="4">
        <f t="shared" si="4"/>
        <v>3499.9300000000003</v>
      </c>
    </row>
    <row r="59" spans="1:8" x14ac:dyDescent="0.25">
      <c r="A59" s="1">
        <f t="shared" si="5"/>
        <v>46093</v>
      </c>
      <c r="B59" s="1" t="str">
        <f t="shared" si="0"/>
        <v>quinta-feira</v>
      </c>
      <c r="C59" s="2" t="str">
        <f t="shared" si="1"/>
        <v>útil</v>
      </c>
      <c r="D59" s="3" t="str" cm="1">
        <f t="array" ref="D59">INDEX($L$2:$L$6,IF(MOD(ROW(),5)=0,5,MOD(ROW(),5)))</f>
        <v>Caderno</v>
      </c>
      <c r="E59" t="str">
        <f t="shared" si="2"/>
        <v>papelaria</v>
      </c>
      <c r="F59">
        <v>5</v>
      </c>
      <c r="G59" s="4">
        <f t="shared" si="3"/>
        <v>24.99</v>
      </c>
      <c r="H59" s="4">
        <f t="shared" si="4"/>
        <v>124.94999999999999</v>
      </c>
    </row>
    <row r="60" spans="1:8" x14ac:dyDescent="0.25">
      <c r="A60" s="1">
        <f t="shared" si="5"/>
        <v>46093</v>
      </c>
      <c r="B60" s="1" t="str">
        <f t="shared" si="0"/>
        <v>quinta-feira</v>
      </c>
      <c r="C60" s="2" t="str">
        <f t="shared" si="1"/>
        <v>útil</v>
      </c>
      <c r="D60" s="3" t="str" cm="1">
        <f t="array" ref="D60">INDEX($L$2:$L$6,IF(MOD(ROW(),5)=0,5,MOD(ROW(),5)))</f>
        <v>Caneta</v>
      </c>
      <c r="E60" t="str">
        <f t="shared" si="2"/>
        <v>papelaria</v>
      </c>
      <c r="F60">
        <v>6</v>
      </c>
      <c r="G60" s="4">
        <f t="shared" si="3"/>
        <v>6.99</v>
      </c>
      <c r="H60" s="4">
        <f t="shared" si="4"/>
        <v>41.94</v>
      </c>
    </row>
    <row r="61" spans="1:8" x14ac:dyDescent="0.25">
      <c r="A61" s="1">
        <f t="shared" si="5"/>
        <v>46093</v>
      </c>
      <c r="B61" s="1" t="str">
        <f t="shared" si="0"/>
        <v>quinta-feira</v>
      </c>
      <c r="C61" s="2" t="str">
        <f t="shared" si="1"/>
        <v>útil</v>
      </c>
      <c r="D61" s="3" t="str" cm="1">
        <f t="array" ref="D61">INDEX($L$2:$L$6,IF(MOD(ROW(),5)=0,5,MOD(ROW(),5)))</f>
        <v>Mouse</v>
      </c>
      <c r="E61" t="str">
        <f t="shared" si="2"/>
        <v>informatica</v>
      </c>
      <c r="F61">
        <v>5</v>
      </c>
      <c r="G61" s="4">
        <f t="shared" si="3"/>
        <v>29.9</v>
      </c>
      <c r="H61" s="4">
        <f t="shared" si="4"/>
        <v>149.5</v>
      </c>
    </row>
    <row r="62" spans="1:8" x14ac:dyDescent="0.25">
      <c r="A62" s="1">
        <f t="shared" si="5"/>
        <v>46094</v>
      </c>
      <c r="B62" s="1" t="str">
        <f t="shared" si="0"/>
        <v>sexta-feira</v>
      </c>
      <c r="C62" s="2" t="str">
        <f t="shared" si="1"/>
        <v>útil</v>
      </c>
      <c r="D62" s="3" t="str" cm="1">
        <f t="array" ref="D62">INDEX($L$2:$L$6,IF(MOD(ROW(),5)=0,5,MOD(ROW(),5)))</f>
        <v>Teclado</v>
      </c>
      <c r="E62" t="str">
        <f t="shared" si="2"/>
        <v>informatica</v>
      </c>
      <c r="F62">
        <v>7</v>
      </c>
      <c r="G62" s="4">
        <f t="shared" si="3"/>
        <v>61.9</v>
      </c>
      <c r="H62" s="4">
        <f t="shared" si="4"/>
        <v>433.3</v>
      </c>
    </row>
    <row r="63" spans="1:8" x14ac:dyDescent="0.25">
      <c r="A63" s="1">
        <f t="shared" si="5"/>
        <v>46094</v>
      </c>
      <c r="B63" s="1" t="str">
        <f t="shared" si="0"/>
        <v>sexta-feira</v>
      </c>
      <c r="C63" s="2" t="str">
        <f t="shared" si="1"/>
        <v>útil</v>
      </c>
      <c r="D63" s="3" t="str" cm="1">
        <f t="array" ref="D63">INDEX($L$2:$L$6,IF(MOD(ROW(),5)=0,5,MOD(ROW(),5)))</f>
        <v>Monitor</v>
      </c>
      <c r="E63" t="str">
        <f t="shared" si="2"/>
        <v>informatica</v>
      </c>
      <c r="F63">
        <v>10</v>
      </c>
      <c r="G63" s="4">
        <f t="shared" si="3"/>
        <v>499.99</v>
      </c>
      <c r="H63" s="4">
        <f t="shared" si="4"/>
        <v>4999.8999999999996</v>
      </c>
    </row>
    <row r="64" spans="1:8" x14ac:dyDescent="0.25">
      <c r="A64" s="1">
        <f t="shared" si="5"/>
        <v>46094</v>
      </c>
      <c r="B64" s="1" t="str">
        <f t="shared" si="0"/>
        <v>sexta-feira</v>
      </c>
      <c r="C64" s="2" t="str">
        <f t="shared" si="1"/>
        <v>útil</v>
      </c>
      <c r="D64" s="3" t="str" cm="1">
        <f t="array" ref="D64">INDEX($L$2:$L$6,IF(MOD(ROW(),5)=0,5,MOD(ROW(),5)))</f>
        <v>Caderno</v>
      </c>
      <c r="E64" t="str">
        <f t="shared" si="2"/>
        <v>papelaria</v>
      </c>
      <c r="F64">
        <v>1</v>
      </c>
      <c r="G64" s="4">
        <f t="shared" si="3"/>
        <v>24.99</v>
      </c>
      <c r="H64" s="4">
        <f t="shared" si="4"/>
        <v>24.99</v>
      </c>
    </row>
    <row r="65" spans="1:8" x14ac:dyDescent="0.25">
      <c r="A65" s="1">
        <f t="shared" si="5"/>
        <v>46094</v>
      </c>
      <c r="B65" s="1" t="str">
        <f t="shared" si="0"/>
        <v>sexta-feira</v>
      </c>
      <c r="C65" s="2" t="str">
        <f t="shared" si="1"/>
        <v>útil</v>
      </c>
      <c r="D65" s="3" t="str" cm="1">
        <f t="array" ref="D65">INDEX($L$2:$L$6,IF(MOD(ROW(),5)=0,5,MOD(ROW(),5)))</f>
        <v>Caneta</v>
      </c>
      <c r="E65" t="str">
        <f t="shared" si="2"/>
        <v>papelaria</v>
      </c>
      <c r="F65">
        <v>4</v>
      </c>
      <c r="G65" s="4">
        <f t="shared" si="3"/>
        <v>6.99</v>
      </c>
      <c r="H65" s="4">
        <f t="shared" si="4"/>
        <v>27.96</v>
      </c>
    </row>
    <row r="66" spans="1:8" x14ac:dyDescent="0.25">
      <c r="A66" s="1">
        <f t="shared" si="5"/>
        <v>46094</v>
      </c>
      <c r="B66" s="1" t="str">
        <f t="shared" si="0"/>
        <v>sexta-feira</v>
      </c>
      <c r="C66" s="2" t="str">
        <f t="shared" si="1"/>
        <v>útil</v>
      </c>
      <c r="D66" s="3" t="str" cm="1">
        <f t="array" ref="D66">INDEX($L$2:$L$6,IF(MOD(ROW(),5)=0,5,MOD(ROW(),5)))</f>
        <v>Mouse</v>
      </c>
      <c r="E66" t="str">
        <f t="shared" si="2"/>
        <v>informatica</v>
      </c>
      <c r="F66">
        <v>8</v>
      </c>
      <c r="G66" s="4">
        <f t="shared" si="3"/>
        <v>29.9</v>
      </c>
      <c r="H66" s="4">
        <f t="shared" si="4"/>
        <v>239.2</v>
      </c>
    </row>
    <row r="67" spans="1:8" x14ac:dyDescent="0.25">
      <c r="A67" s="1">
        <f t="shared" si="5"/>
        <v>46095</v>
      </c>
      <c r="B67" s="1" t="str">
        <f t="shared" ref="B67:B130" si="6">TEXT(A67,"dddd")</f>
        <v>sábado</v>
      </c>
      <c r="C67" s="2" t="str">
        <f t="shared" ref="C67:C130" si="7">IF(OR(B67="sábado",B67="domingo"),"não útil","útil")</f>
        <v>não útil</v>
      </c>
      <c r="D67" s="3" t="str" cm="1">
        <f t="array" ref="D67">INDEX($L$2:$L$6,IF(MOD(ROW(),5)=0,5,MOD(ROW(),5)))</f>
        <v>Teclado</v>
      </c>
      <c r="E67" t="str">
        <f t="shared" ref="E67:E130" si="8">IF(OR(D67="Teclado",D67="Monitor",D67="Mouse"),"informatica","papelaria")</f>
        <v>informatica</v>
      </c>
      <c r="F67">
        <v>5</v>
      </c>
      <c r="G67" s="4">
        <f t="shared" ref="G67:G130" si="9">VLOOKUP(D67,$L$2:$M$6,2,FALSE)</f>
        <v>61.9</v>
      </c>
      <c r="H67" s="4">
        <f t="shared" ref="H67:H130" si="10">PRODUCT(G67,F67)</f>
        <v>309.5</v>
      </c>
    </row>
    <row r="68" spans="1:8" x14ac:dyDescent="0.25">
      <c r="A68" s="1">
        <f t="shared" ref="A68:A131" si="11">$A$2+INT((ROW()-2)/5)</f>
        <v>46095</v>
      </c>
      <c r="B68" s="1" t="str">
        <f t="shared" si="6"/>
        <v>sábado</v>
      </c>
      <c r="C68" s="2" t="str">
        <f t="shared" si="7"/>
        <v>não útil</v>
      </c>
      <c r="D68" s="3" t="str" cm="1">
        <f t="array" ref="D68">INDEX($L$2:$L$6,IF(MOD(ROW(),5)=0,5,MOD(ROW(),5)))</f>
        <v>Monitor</v>
      </c>
      <c r="E68" t="str">
        <f t="shared" si="8"/>
        <v>informatica</v>
      </c>
      <c r="F68">
        <v>8</v>
      </c>
      <c r="G68" s="4">
        <f t="shared" si="9"/>
        <v>499.99</v>
      </c>
      <c r="H68" s="4">
        <f t="shared" si="10"/>
        <v>3999.92</v>
      </c>
    </row>
    <row r="69" spans="1:8" x14ac:dyDescent="0.25">
      <c r="A69" s="1">
        <f t="shared" si="11"/>
        <v>46095</v>
      </c>
      <c r="B69" s="1" t="str">
        <f t="shared" si="6"/>
        <v>sábado</v>
      </c>
      <c r="C69" s="2" t="str">
        <f t="shared" si="7"/>
        <v>não útil</v>
      </c>
      <c r="D69" s="3" t="str" cm="1">
        <f t="array" ref="D69">INDEX($L$2:$L$6,IF(MOD(ROW(),5)=0,5,MOD(ROW(),5)))</f>
        <v>Caderno</v>
      </c>
      <c r="E69" t="str">
        <f t="shared" si="8"/>
        <v>papelaria</v>
      </c>
      <c r="F69">
        <v>8</v>
      </c>
      <c r="G69" s="4">
        <f t="shared" si="9"/>
        <v>24.99</v>
      </c>
      <c r="H69" s="4">
        <f t="shared" si="10"/>
        <v>199.92</v>
      </c>
    </row>
    <row r="70" spans="1:8" x14ac:dyDescent="0.25">
      <c r="A70" s="1">
        <f t="shared" si="11"/>
        <v>46095</v>
      </c>
      <c r="B70" s="1" t="str">
        <f t="shared" si="6"/>
        <v>sábado</v>
      </c>
      <c r="C70" s="2" t="str">
        <f t="shared" si="7"/>
        <v>não útil</v>
      </c>
      <c r="D70" s="3" t="str" cm="1">
        <f t="array" ref="D70">INDEX($L$2:$L$6,IF(MOD(ROW(),5)=0,5,MOD(ROW(),5)))</f>
        <v>Caneta</v>
      </c>
      <c r="E70" t="str">
        <f t="shared" si="8"/>
        <v>papelaria</v>
      </c>
      <c r="F70">
        <v>1</v>
      </c>
      <c r="G70" s="4">
        <f t="shared" si="9"/>
        <v>6.99</v>
      </c>
      <c r="H70" s="4">
        <f t="shared" si="10"/>
        <v>6.99</v>
      </c>
    </row>
    <row r="71" spans="1:8" x14ac:dyDescent="0.25">
      <c r="A71" s="1">
        <f t="shared" si="11"/>
        <v>46095</v>
      </c>
      <c r="B71" s="1" t="str">
        <f t="shared" si="6"/>
        <v>sábado</v>
      </c>
      <c r="C71" s="2" t="str">
        <f t="shared" si="7"/>
        <v>não útil</v>
      </c>
      <c r="D71" s="3" t="str" cm="1">
        <f t="array" ref="D71">INDEX($L$2:$L$6,IF(MOD(ROW(),5)=0,5,MOD(ROW(),5)))</f>
        <v>Mouse</v>
      </c>
      <c r="E71" t="str">
        <f t="shared" si="8"/>
        <v>informatica</v>
      </c>
      <c r="F71">
        <v>4</v>
      </c>
      <c r="G71" s="4">
        <f t="shared" si="9"/>
        <v>29.9</v>
      </c>
      <c r="H71" s="4">
        <f t="shared" si="10"/>
        <v>119.6</v>
      </c>
    </row>
    <row r="72" spans="1:8" x14ac:dyDescent="0.25">
      <c r="A72" s="1">
        <f t="shared" si="11"/>
        <v>46096</v>
      </c>
      <c r="B72" s="1" t="str">
        <f t="shared" si="6"/>
        <v>domingo</v>
      </c>
      <c r="C72" s="2" t="str">
        <f t="shared" si="7"/>
        <v>não útil</v>
      </c>
      <c r="D72" s="3" t="str" cm="1">
        <f t="array" ref="D72">INDEX($L$2:$L$6,IF(MOD(ROW(),5)=0,5,MOD(ROW(),5)))</f>
        <v>Teclado</v>
      </c>
      <c r="E72" t="str">
        <f t="shared" si="8"/>
        <v>informatica</v>
      </c>
      <c r="F72">
        <v>5</v>
      </c>
      <c r="G72" s="4">
        <f t="shared" si="9"/>
        <v>61.9</v>
      </c>
      <c r="H72" s="4">
        <f t="shared" si="10"/>
        <v>309.5</v>
      </c>
    </row>
    <row r="73" spans="1:8" x14ac:dyDescent="0.25">
      <c r="A73" s="1">
        <f t="shared" si="11"/>
        <v>46096</v>
      </c>
      <c r="B73" s="1" t="str">
        <f t="shared" si="6"/>
        <v>domingo</v>
      </c>
      <c r="C73" s="2" t="str">
        <f t="shared" si="7"/>
        <v>não útil</v>
      </c>
      <c r="D73" s="3" t="str" cm="1">
        <f t="array" ref="D73">INDEX($L$2:$L$6,IF(MOD(ROW(),5)=0,5,MOD(ROW(),5)))</f>
        <v>Monitor</v>
      </c>
      <c r="E73" t="str">
        <f t="shared" si="8"/>
        <v>informatica</v>
      </c>
      <c r="F73">
        <v>9</v>
      </c>
      <c r="G73" s="4">
        <f t="shared" si="9"/>
        <v>499.99</v>
      </c>
      <c r="H73" s="4">
        <f t="shared" si="10"/>
        <v>4499.91</v>
      </c>
    </row>
    <row r="74" spans="1:8" x14ac:dyDescent="0.25">
      <c r="A74" s="1">
        <f t="shared" si="11"/>
        <v>46096</v>
      </c>
      <c r="B74" s="1" t="str">
        <f t="shared" si="6"/>
        <v>domingo</v>
      </c>
      <c r="C74" s="2" t="str">
        <f t="shared" si="7"/>
        <v>não útil</v>
      </c>
      <c r="D74" s="3" t="str" cm="1">
        <f t="array" ref="D74">INDEX($L$2:$L$6,IF(MOD(ROW(),5)=0,5,MOD(ROW(),5)))</f>
        <v>Caderno</v>
      </c>
      <c r="E74" t="str">
        <f t="shared" si="8"/>
        <v>papelaria</v>
      </c>
      <c r="F74">
        <v>3</v>
      </c>
      <c r="G74" s="4">
        <f t="shared" si="9"/>
        <v>24.99</v>
      </c>
      <c r="H74" s="4">
        <f t="shared" si="10"/>
        <v>74.97</v>
      </c>
    </row>
    <row r="75" spans="1:8" x14ac:dyDescent="0.25">
      <c r="A75" s="1">
        <f t="shared" si="11"/>
        <v>46096</v>
      </c>
      <c r="B75" s="1" t="str">
        <f t="shared" si="6"/>
        <v>domingo</v>
      </c>
      <c r="C75" s="2" t="str">
        <f t="shared" si="7"/>
        <v>não útil</v>
      </c>
      <c r="D75" s="3" t="str" cm="1">
        <f t="array" ref="D75">INDEX($L$2:$L$6,IF(MOD(ROW(),5)=0,5,MOD(ROW(),5)))</f>
        <v>Caneta</v>
      </c>
      <c r="E75" t="str">
        <f t="shared" si="8"/>
        <v>papelaria</v>
      </c>
      <c r="F75">
        <v>7</v>
      </c>
      <c r="G75" s="4">
        <f t="shared" si="9"/>
        <v>6.99</v>
      </c>
      <c r="H75" s="4">
        <f t="shared" si="10"/>
        <v>48.93</v>
      </c>
    </row>
    <row r="76" spans="1:8" x14ac:dyDescent="0.25">
      <c r="A76" s="1">
        <f t="shared" si="11"/>
        <v>46096</v>
      </c>
      <c r="B76" s="1" t="str">
        <f t="shared" si="6"/>
        <v>domingo</v>
      </c>
      <c r="C76" s="2" t="str">
        <f t="shared" si="7"/>
        <v>não útil</v>
      </c>
      <c r="D76" s="3" t="str" cm="1">
        <f t="array" ref="D76">INDEX($L$2:$L$6,IF(MOD(ROW(),5)=0,5,MOD(ROW(),5)))</f>
        <v>Mouse</v>
      </c>
      <c r="E76" t="str">
        <f t="shared" si="8"/>
        <v>informatica</v>
      </c>
      <c r="F76">
        <v>5</v>
      </c>
      <c r="G76" s="4">
        <f t="shared" si="9"/>
        <v>29.9</v>
      </c>
      <c r="H76" s="4">
        <f t="shared" si="10"/>
        <v>149.5</v>
      </c>
    </row>
    <row r="77" spans="1:8" x14ac:dyDescent="0.25">
      <c r="A77" s="1">
        <f t="shared" si="11"/>
        <v>46097</v>
      </c>
      <c r="B77" s="1" t="str">
        <f t="shared" si="6"/>
        <v>segunda-feira</v>
      </c>
      <c r="C77" s="2" t="str">
        <f t="shared" si="7"/>
        <v>útil</v>
      </c>
      <c r="D77" s="3" t="str" cm="1">
        <f t="array" ref="D77">INDEX($L$2:$L$6,IF(MOD(ROW(),5)=0,5,MOD(ROW(),5)))</f>
        <v>Teclado</v>
      </c>
      <c r="E77" t="str">
        <f t="shared" si="8"/>
        <v>informatica</v>
      </c>
      <c r="F77">
        <v>6</v>
      </c>
      <c r="G77" s="4">
        <f t="shared" si="9"/>
        <v>61.9</v>
      </c>
      <c r="H77" s="4">
        <f t="shared" si="10"/>
        <v>371.4</v>
      </c>
    </row>
    <row r="78" spans="1:8" x14ac:dyDescent="0.25">
      <c r="A78" s="1">
        <f t="shared" si="11"/>
        <v>46097</v>
      </c>
      <c r="B78" s="1" t="str">
        <f t="shared" si="6"/>
        <v>segunda-feira</v>
      </c>
      <c r="C78" s="2" t="str">
        <f t="shared" si="7"/>
        <v>útil</v>
      </c>
      <c r="D78" s="3" t="str" cm="1">
        <f t="array" ref="D78">INDEX($L$2:$L$6,IF(MOD(ROW(),5)=0,5,MOD(ROW(),5)))</f>
        <v>Monitor</v>
      </c>
      <c r="E78" t="str">
        <f t="shared" si="8"/>
        <v>informatica</v>
      </c>
      <c r="F78">
        <v>8</v>
      </c>
      <c r="G78" s="4">
        <f t="shared" si="9"/>
        <v>499.99</v>
      </c>
      <c r="H78" s="4">
        <f t="shared" si="10"/>
        <v>3999.92</v>
      </c>
    </row>
    <row r="79" spans="1:8" x14ac:dyDescent="0.25">
      <c r="A79" s="1">
        <f t="shared" si="11"/>
        <v>46097</v>
      </c>
      <c r="B79" s="1" t="str">
        <f t="shared" si="6"/>
        <v>segunda-feira</v>
      </c>
      <c r="C79" s="2" t="str">
        <f t="shared" si="7"/>
        <v>útil</v>
      </c>
      <c r="D79" s="3" t="str" cm="1">
        <f t="array" ref="D79">INDEX($L$2:$L$6,IF(MOD(ROW(),5)=0,5,MOD(ROW(),5)))</f>
        <v>Caderno</v>
      </c>
      <c r="E79" t="str">
        <f t="shared" si="8"/>
        <v>papelaria</v>
      </c>
      <c r="F79">
        <v>8</v>
      </c>
      <c r="G79" s="4">
        <f t="shared" si="9"/>
        <v>24.99</v>
      </c>
      <c r="H79" s="4">
        <f t="shared" si="10"/>
        <v>199.92</v>
      </c>
    </row>
    <row r="80" spans="1:8" x14ac:dyDescent="0.25">
      <c r="A80" s="1">
        <f t="shared" si="11"/>
        <v>46097</v>
      </c>
      <c r="B80" s="1" t="str">
        <f t="shared" si="6"/>
        <v>segunda-feira</v>
      </c>
      <c r="C80" s="2" t="str">
        <f t="shared" si="7"/>
        <v>útil</v>
      </c>
      <c r="D80" s="3" t="str" cm="1">
        <f t="array" ref="D80">INDEX($L$2:$L$6,IF(MOD(ROW(),5)=0,5,MOD(ROW(),5)))</f>
        <v>Caneta</v>
      </c>
      <c r="E80" t="str">
        <f t="shared" si="8"/>
        <v>papelaria</v>
      </c>
      <c r="F80">
        <v>7</v>
      </c>
      <c r="G80" s="4">
        <f t="shared" si="9"/>
        <v>6.99</v>
      </c>
      <c r="H80" s="4">
        <f t="shared" si="10"/>
        <v>48.93</v>
      </c>
    </row>
    <row r="81" spans="1:8" x14ac:dyDescent="0.25">
      <c r="A81" s="1">
        <f t="shared" si="11"/>
        <v>46097</v>
      </c>
      <c r="B81" s="1" t="str">
        <f t="shared" si="6"/>
        <v>segunda-feira</v>
      </c>
      <c r="C81" s="2" t="str">
        <f t="shared" si="7"/>
        <v>útil</v>
      </c>
      <c r="D81" s="3" t="str" cm="1">
        <f t="array" ref="D81">INDEX($L$2:$L$6,IF(MOD(ROW(),5)=0,5,MOD(ROW(),5)))</f>
        <v>Mouse</v>
      </c>
      <c r="E81" t="str">
        <f t="shared" si="8"/>
        <v>informatica</v>
      </c>
      <c r="F81">
        <v>6</v>
      </c>
      <c r="G81" s="4">
        <f t="shared" si="9"/>
        <v>29.9</v>
      </c>
      <c r="H81" s="4">
        <f t="shared" si="10"/>
        <v>179.39999999999998</v>
      </c>
    </row>
    <row r="82" spans="1:8" x14ac:dyDescent="0.25">
      <c r="A82" s="1">
        <f t="shared" si="11"/>
        <v>46098</v>
      </c>
      <c r="B82" s="1" t="str">
        <f t="shared" si="6"/>
        <v>terça-feira</v>
      </c>
      <c r="C82" s="2" t="str">
        <f t="shared" si="7"/>
        <v>útil</v>
      </c>
      <c r="D82" s="3" t="str" cm="1">
        <f t="array" ref="D82">INDEX($L$2:$L$6,IF(MOD(ROW(),5)=0,5,MOD(ROW(),5)))</f>
        <v>Teclado</v>
      </c>
      <c r="E82" t="str">
        <f t="shared" si="8"/>
        <v>informatica</v>
      </c>
      <c r="F82">
        <v>9</v>
      </c>
      <c r="G82" s="4">
        <f t="shared" si="9"/>
        <v>61.9</v>
      </c>
      <c r="H82" s="4">
        <f t="shared" si="10"/>
        <v>557.1</v>
      </c>
    </row>
    <row r="83" spans="1:8" x14ac:dyDescent="0.25">
      <c r="A83" s="1">
        <f t="shared" si="11"/>
        <v>46098</v>
      </c>
      <c r="B83" s="1" t="str">
        <f t="shared" si="6"/>
        <v>terça-feira</v>
      </c>
      <c r="C83" s="2" t="str">
        <f t="shared" si="7"/>
        <v>útil</v>
      </c>
      <c r="D83" s="3" t="str" cm="1">
        <f t="array" ref="D83">INDEX($L$2:$L$6,IF(MOD(ROW(),5)=0,5,MOD(ROW(),5)))</f>
        <v>Monitor</v>
      </c>
      <c r="E83" t="str">
        <f t="shared" si="8"/>
        <v>informatica</v>
      </c>
      <c r="F83">
        <v>4</v>
      </c>
      <c r="G83" s="4">
        <f t="shared" si="9"/>
        <v>499.99</v>
      </c>
      <c r="H83" s="4">
        <f t="shared" si="10"/>
        <v>1999.96</v>
      </c>
    </row>
    <row r="84" spans="1:8" x14ac:dyDescent="0.25">
      <c r="A84" s="1">
        <f t="shared" si="11"/>
        <v>46098</v>
      </c>
      <c r="B84" s="1" t="str">
        <f t="shared" si="6"/>
        <v>terça-feira</v>
      </c>
      <c r="C84" s="2" t="str">
        <f t="shared" si="7"/>
        <v>útil</v>
      </c>
      <c r="D84" s="3" t="str" cm="1">
        <f t="array" ref="D84">INDEX($L$2:$L$6,IF(MOD(ROW(),5)=0,5,MOD(ROW(),5)))</f>
        <v>Caderno</v>
      </c>
      <c r="E84" t="str">
        <f t="shared" si="8"/>
        <v>papelaria</v>
      </c>
      <c r="F84">
        <v>8</v>
      </c>
      <c r="G84" s="4">
        <f t="shared" si="9"/>
        <v>24.99</v>
      </c>
      <c r="H84" s="4">
        <f t="shared" si="10"/>
        <v>199.92</v>
      </c>
    </row>
    <row r="85" spans="1:8" x14ac:dyDescent="0.25">
      <c r="A85" s="1">
        <f t="shared" si="11"/>
        <v>46098</v>
      </c>
      <c r="B85" s="1" t="str">
        <f t="shared" si="6"/>
        <v>terça-feira</v>
      </c>
      <c r="C85" s="2" t="str">
        <f t="shared" si="7"/>
        <v>útil</v>
      </c>
      <c r="D85" s="3" t="str" cm="1">
        <f t="array" ref="D85">INDEX($L$2:$L$6,IF(MOD(ROW(),5)=0,5,MOD(ROW(),5)))</f>
        <v>Caneta</v>
      </c>
      <c r="E85" t="str">
        <f t="shared" si="8"/>
        <v>papelaria</v>
      </c>
      <c r="F85">
        <v>9</v>
      </c>
      <c r="G85" s="4">
        <f t="shared" si="9"/>
        <v>6.99</v>
      </c>
      <c r="H85" s="4">
        <f t="shared" si="10"/>
        <v>62.910000000000004</v>
      </c>
    </row>
    <row r="86" spans="1:8" x14ac:dyDescent="0.25">
      <c r="A86" s="1">
        <f t="shared" si="11"/>
        <v>46098</v>
      </c>
      <c r="B86" s="1" t="str">
        <f t="shared" si="6"/>
        <v>terça-feira</v>
      </c>
      <c r="C86" s="2" t="str">
        <f t="shared" si="7"/>
        <v>útil</v>
      </c>
      <c r="D86" s="3" t="str" cm="1">
        <f t="array" ref="D86">INDEX($L$2:$L$6,IF(MOD(ROW(),5)=0,5,MOD(ROW(),5)))</f>
        <v>Mouse</v>
      </c>
      <c r="E86" t="str">
        <f t="shared" si="8"/>
        <v>informatica</v>
      </c>
      <c r="F86">
        <v>6</v>
      </c>
      <c r="G86" s="4">
        <f t="shared" si="9"/>
        <v>29.9</v>
      </c>
      <c r="H86" s="4">
        <f t="shared" si="10"/>
        <v>179.39999999999998</v>
      </c>
    </row>
    <row r="87" spans="1:8" x14ac:dyDescent="0.25">
      <c r="A87" s="1">
        <f t="shared" si="11"/>
        <v>46099</v>
      </c>
      <c r="B87" s="1" t="str">
        <f t="shared" si="6"/>
        <v>quarta-feira</v>
      </c>
      <c r="C87" s="2" t="str">
        <f t="shared" si="7"/>
        <v>útil</v>
      </c>
      <c r="D87" s="3" t="str" cm="1">
        <f t="array" ref="D87">INDEX($L$2:$L$6,IF(MOD(ROW(),5)=0,5,MOD(ROW(),5)))</f>
        <v>Teclado</v>
      </c>
      <c r="E87" t="str">
        <f t="shared" si="8"/>
        <v>informatica</v>
      </c>
      <c r="F87">
        <v>8</v>
      </c>
      <c r="G87" s="4">
        <f t="shared" si="9"/>
        <v>61.9</v>
      </c>
      <c r="H87" s="4">
        <f t="shared" si="10"/>
        <v>495.2</v>
      </c>
    </row>
    <row r="88" spans="1:8" x14ac:dyDescent="0.25">
      <c r="A88" s="1">
        <f t="shared" si="11"/>
        <v>46099</v>
      </c>
      <c r="B88" s="1" t="str">
        <f t="shared" si="6"/>
        <v>quarta-feira</v>
      </c>
      <c r="C88" s="2" t="str">
        <f t="shared" si="7"/>
        <v>útil</v>
      </c>
      <c r="D88" s="3" t="str" cm="1">
        <f t="array" ref="D88">INDEX($L$2:$L$6,IF(MOD(ROW(),5)=0,5,MOD(ROW(),5)))</f>
        <v>Monitor</v>
      </c>
      <c r="E88" t="str">
        <f t="shared" si="8"/>
        <v>informatica</v>
      </c>
      <c r="F88">
        <v>4</v>
      </c>
      <c r="G88" s="4">
        <f t="shared" si="9"/>
        <v>499.99</v>
      </c>
      <c r="H88" s="4">
        <f t="shared" si="10"/>
        <v>1999.96</v>
      </c>
    </row>
    <row r="89" spans="1:8" x14ac:dyDescent="0.25">
      <c r="A89" s="1">
        <f t="shared" si="11"/>
        <v>46099</v>
      </c>
      <c r="B89" s="1" t="str">
        <f t="shared" si="6"/>
        <v>quarta-feira</v>
      </c>
      <c r="C89" s="2" t="str">
        <f t="shared" si="7"/>
        <v>útil</v>
      </c>
      <c r="D89" s="3" t="str" cm="1">
        <f t="array" ref="D89">INDEX($L$2:$L$6,IF(MOD(ROW(),5)=0,5,MOD(ROW(),5)))</f>
        <v>Caderno</v>
      </c>
      <c r="E89" t="str">
        <f t="shared" si="8"/>
        <v>papelaria</v>
      </c>
      <c r="F89">
        <v>4</v>
      </c>
      <c r="G89" s="4">
        <f t="shared" si="9"/>
        <v>24.99</v>
      </c>
      <c r="H89" s="4">
        <f t="shared" si="10"/>
        <v>99.96</v>
      </c>
    </row>
    <row r="90" spans="1:8" x14ac:dyDescent="0.25">
      <c r="A90" s="1">
        <f t="shared" si="11"/>
        <v>46099</v>
      </c>
      <c r="B90" s="1" t="str">
        <f t="shared" si="6"/>
        <v>quarta-feira</v>
      </c>
      <c r="C90" s="2" t="str">
        <f t="shared" si="7"/>
        <v>útil</v>
      </c>
      <c r="D90" s="3" t="str" cm="1">
        <f t="array" ref="D90">INDEX($L$2:$L$6,IF(MOD(ROW(),5)=0,5,MOD(ROW(),5)))</f>
        <v>Caneta</v>
      </c>
      <c r="E90" t="str">
        <f t="shared" si="8"/>
        <v>papelaria</v>
      </c>
      <c r="F90">
        <v>3</v>
      </c>
      <c r="G90" s="4">
        <f t="shared" si="9"/>
        <v>6.99</v>
      </c>
      <c r="H90" s="4">
        <f t="shared" si="10"/>
        <v>20.97</v>
      </c>
    </row>
    <row r="91" spans="1:8" x14ac:dyDescent="0.25">
      <c r="A91" s="1">
        <f t="shared" si="11"/>
        <v>46099</v>
      </c>
      <c r="B91" s="1" t="str">
        <f t="shared" si="6"/>
        <v>quarta-feira</v>
      </c>
      <c r="C91" s="2" t="str">
        <f t="shared" si="7"/>
        <v>útil</v>
      </c>
      <c r="D91" s="3" t="str" cm="1">
        <f t="array" ref="D91">INDEX($L$2:$L$6,IF(MOD(ROW(),5)=0,5,MOD(ROW(),5)))</f>
        <v>Mouse</v>
      </c>
      <c r="E91" t="str">
        <f t="shared" si="8"/>
        <v>informatica</v>
      </c>
      <c r="F91">
        <v>8</v>
      </c>
      <c r="G91" s="4">
        <f t="shared" si="9"/>
        <v>29.9</v>
      </c>
      <c r="H91" s="4">
        <f t="shared" si="10"/>
        <v>239.2</v>
      </c>
    </row>
    <row r="92" spans="1:8" x14ac:dyDescent="0.25">
      <c r="A92" s="1">
        <f t="shared" si="11"/>
        <v>46100</v>
      </c>
      <c r="B92" s="1" t="str">
        <f t="shared" si="6"/>
        <v>quinta-feira</v>
      </c>
      <c r="C92" s="2" t="str">
        <f t="shared" si="7"/>
        <v>útil</v>
      </c>
      <c r="D92" s="3" t="str" cm="1">
        <f t="array" ref="D92">INDEX($L$2:$L$6,IF(MOD(ROW(),5)=0,5,MOD(ROW(),5)))</f>
        <v>Teclado</v>
      </c>
      <c r="E92" t="str">
        <f t="shared" si="8"/>
        <v>informatica</v>
      </c>
      <c r="F92">
        <v>4</v>
      </c>
      <c r="G92" s="4">
        <f t="shared" si="9"/>
        <v>61.9</v>
      </c>
      <c r="H92" s="4">
        <f t="shared" si="10"/>
        <v>247.6</v>
      </c>
    </row>
    <row r="93" spans="1:8" x14ac:dyDescent="0.25">
      <c r="A93" s="1">
        <f t="shared" si="11"/>
        <v>46100</v>
      </c>
      <c r="B93" s="1" t="str">
        <f t="shared" si="6"/>
        <v>quinta-feira</v>
      </c>
      <c r="C93" s="2" t="str">
        <f t="shared" si="7"/>
        <v>útil</v>
      </c>
      <c r="D93" s="3" t="str" cm="1">
        <f t="array" ref="D93">INDEX($L$2:$L$6,IF(MOD(ROW(),5)=0,5,MOD(ROW(),5)))</f>
        <v>Monitor</v>
      </c>
      <c r="E93" t="str">
        <f t="shared" si="8"/>
        <v>informatica</v>
      </c>
      <c r="F93">
        <v>5</v>
      </c>
      <c r="G93" s="4">
        <f t="shared" si="9"/>
        <v>499.99</v>
      </c>
      <c r="H93" s="4">
        <f t="shared" si="10"/>
        <v>2499.9499999999998</v>
      </c>
    </row>
    <row r="94" spans="1:8" x14ac:dyDescent="0.25">
      <c r="A94" s="1">
        <f t="shared" si="11"/>
        <v>46100</v>
      </c>
      <c r="B94" s="1" t="str">
        <f t="shared" si="6"/>
        <v>quinta-feira</v>
      </c>
      <c r="C94" s="2" t="str">
        <f t="shared" si="7"/>
        <v>útil</v>
      </c>
      <c r="D94" s="3" t="str" cm="1">
        <f t="array" ref="D94">INDEX($L$2:$L$6,IF(MOD(ROW(),5)=0,5,MOD(ROW(),5)))</f>
        <v>Caderno</v>
      </c>
      <c r="E94" t="str">
        <f t="shared" si="8"/>
        <v>papelaria</v>
      </c>
      <c r="F94">
        <v>10</v>
      </c>
      <c r="G94" s="4">
        <f t="shared" si="9"/>
        <v>24.99</v>
      </c>
      <c r="H94" s="4">
        <f t="shared" si="10"/>
        <v>249.89999999999998</v>
      </c>
    </row>
    <row r="95" spans="1:8" x14ac:dyDescent="0.25">
      <c r="A95" s="1">
        <f t="shared" si="11"/>
        <v>46100</v>
      </c>
      <c r="B95" s="1" t="str">
        <f t="shared" si="6"/>
        <v>quinta-feira</v>
      </c>
      <c r="C95" s="2" t="str">
        <f t="shared" si="7"/>
        <v>útil</v>
      </c>
      <c r="D95" s="3" t="str" cm="1">
        <f t="array" ref="D95">INDEX($L$2:$L$6,IF(MOD(ROW(),5)=0,5,MOD(ROW(),5)))</f>
        <v>Caneta</v>
      </c>
      <c r="E95" t="str">
        <f t="shared" si="8"/>
        <v>papelaria</v>
      </c>
      <c r="F95">
        <v>8</v>
      </c>
      <c r="G95" s="4">
        <f t="shared" si="9"/>
        <v>6.99</v>
      </c>
      <c r="H95" s="4">
        <f t="shared" si="10"/>
        <v>55.92</v>
      </c>
    </row>
    <row r="96" spans="1:8" x14ac:dyDescent="0.25">
      <c r="A96" s="1">
        <f t="shared" si="11"/>
        <v>46100</v>
      </c>
      <c r="B96" s="1" t="str">
        <f t="shared" si="6"/>
        <v>quinta-feira</v>
      </c>
      <c r="C96" s="2" t="str">
        <f t="shared" si="7"/>
        <v>útil</v>
      </c>
      <c r="D96" s="3" t="str" cm="1">
        <f t="array" ref="D96">INDEX($L$2:$L$6,IF(MOD(ROW(),5)=0,5,MOD(ROW(),5)))</f>
        <v>Mouse</v>
      </c>
      <c r="E96" t="str">
        <f t="shared" si="8"/>
        <v>informatica</v>
      </c>
      <c r="F96">
        <v>6</v>
      </c>
      <c r="G96" s="4">
        <f t="shared" si="9"/>
        <v>29.9</v>
      </c>
      <c r="H96" s="4">
        <f t="shared" si="10"/>
        <v>179.39999999999998</v>
      </c>
    </row>
    <row r="97" spans="1:8" x14ac:dyDescent="0.25">
      <c r="A97" s="1">
        <f t="shared" si="11"/>
        <v>46101</v>
      </c>
      <c r="B97" s="1" t="str">
        <f t="shared" si="6"/>
        <v>sexta-feira</v>
      </c>
      <c r="C97" s="2" t="str">
        <f t="shared" si="7"/>
        <v>útil</v>
      </c>
      <c r="D97" s="3" t="str" cm="1">
        <f t="array" ref="D97">INDEX($L$2:$L$6,IF(MOD(ROW(),5)=0,5,MOD(ROW(),5)))</f>
        <v>Teclado</v>
      </c>
      <c r="E97" t="str">
        <f t="shared" si="8"/>
        <v>informatica</v>
      </c>
      <c r="F97">
        <v>6</v>
      </c>
      <c r="G97" s="4">
        <f t="shared" si="9"/>
        <v>61.9</v>
      </c>
      <c r="H97" s="4">
        <f t="shared" si="10"/>
        <v>371.4</v>
      </c>
    </row>
    <row r="98" spans="1:8" x14ac:dyDescent="0.25">
      <c r="A98" s="1">
        <f t="shared" si="11"/>
        <v>46101</v>
      </c>
      <c r="B98" s="1" t="str">
        <f t="shared" si="6"/>
        <v>sexta-feira</v>
      </c>
      <c r="C98" s="2" t="str">
        <f t="shared" si="7"/>
        <v>útil</v>
      </c>
      <c r="D98" s="3" t="str" cm="1">
        <f t="array" ref="D98">INDEX($L$2:$L$6,IF(MOD(ROW(),5)=0,5,MOD(ROW(),5)))</f>
        <v>Monitor</v>
      </c>
      <c r="E98" t="str">
        <f t="shared" si="8"/>
        <v>informatica</v>
      </c>
      <c r="F98">
        <v>10</v>
      </c>
      <c r="G98" s="4">
        <f t="shared" si="9"/>
        <v>499.99</v>
      </c>
      <c r="H98" s="4">
        <f t="shared" si="10"/>
        <v>4999.8999999999996</v>
      </c>
    </row>
    <row r="99" spans="1:8" x14ac:dyDescent="0.25">
      <c r="A99" s="1">
        <f t="shared" si="11"/>
        <v>46101</v>
      </c>
      <c r="B99" s="1" t="str">
        <f t="shared" si="6"/>
        <v>sexta-feira</v>
      </c>
      <c r="C99" s="2" t="str">
        <f t="shared" si="7"/>
        <v>útil</v>
      </c>
      <c r="D99" s="3" t="str" cm="1">
        <f t="array" ref="D99">INDEX($L$2:$L$6,IF(MOD(ROW(),5)=0,5,MOD(ROW(),5)))</f>
        <v>Caderno</v>
      </c>
      <c r="E99" t="str">
        <f t="shared" si="8"/>
        <v>papelaria</v>
      </c>
      <c r="F99">
        <v>5</v>
      </c>
      <c r="G99" s="4">
        <f t="shared" si="9"/>
        <v>24.99</v>
      </c>
      <c r="H99" s="4">
        <f t="shared" si="10"/>
        <v>124.94999999999999</v>
      </c>
    </row>
    <row r="100" spans="1:8" x14ac:dyDescent="0.25">
      <c r="A100" s="1">
        <f t="shared" si="11"/>
        <v>46101</v>
      </c>
      <c r="B100" s="1" t="str">
        <f t="shared" si="6"/>
        <v>sexta-feira</v>
      </c>
      <c r="C100" s="2" t="str">
        <f t="shared" si="7"/>
        <v>útil</v>
      </c>
      <c r="D100" s="3" t="str" cm="1">
        <f t="array" ref="D100">INDEX($L$2:$L$6,IF(MOD(ROW(),5)=0,5,MOD(ROW(),5)))</f>
        <v>Caneta</v>
      </c>
      <c r="E100" t="str">
        <f t="shared" si="8"/>
        <v>papelaria</v>
      </c>
      <c r="F100">
        <v>2</v>
      </c>
      <c r="G100" s="4">
        <f t="shared" si="9"/>
        <v>6.99</v>
      </c>
      <c r="H100" s="4">
        <f t="shared" si="10"/>
        <v>13.98</v>
      </c>
    </row>
    <row r="101" spans="1:8" x14ac:dyDescent="0.25">
      <c r="A101" s="1">
        <f t="shared" si="11"/>
        <v>46101</v>
      </c>
      <c r="B101" s="1" t="str">
        <f t="shared" si="6"/>
        <v>sexta-feira</v>
      </c>
      <c r="C101" s="2" t="str">
        <f t="shared" si="7"/>
        <v>útil</v>
      </c>
      <c r="D101" s="3" t="str" cm="1">
        <f t="array" ref="D101">INDEX($L$2:$L$6,IF(MOD(ROW(),5)=0,5,MOD(ROW(),5)))</f>
        <v>Mouse</v>
      </c>
      <c r="E101" t="str">
        <f t="shared" si="8"/>
        <v>informatica</v>
      </c>
      <c r="F101">
        <v>8</v>
      </c>
      <c r="G101" s="4">
        <f t="shared" si="9"/>
        <v>29.9</v>
      </c>
      <c r="H101" s="4">
        <f t="shared" si="10"/>
        <v>239.2</v>
      </c>
    </row>
    <row r="102" spans="1:8" x14ac:dyDescent="0.25">
      <c r="A102" s="1">
        <f t="shared" si="11"/>
        <v>46102</v>
      </c>
      <c r="B102" s="1" t="str">
        <f t="shared" si="6"/>
        <v>sábado</v>
      </c>
      <c r="C102" s="2" t="str">
        <f t="shared" si="7"/>
        <v>não útil</v>
      </c>
      <c r="D102" s="3" t="str" cm="1">
        <f t="array" ref="D102">INDEX($L$2:$L$6,IF(MOD(ROW(),5)=0,5,MOD(ROW(),5)))</f>
        <v>Teclado</v>
      </c>
      <c r="E102" t="str">
        <f t="shared" si="8"/>
        <v>informatica</v>
      </c>
      <c r="F102">
        <v>10</v>
      </c>
      <c r="G102" s="4">
        <f t="shared" si="9"/>
        <v>61.9</v>
      </c>
      <c r="H102" s="4">
        <f t="shared" si="10"/>
        <v>619</v>
      </c>
    </row>
    <row r="103" spans="1:8" x14ac:dyDescent="0.25">
      <c r="A103" s="1">
        <f t="shared" si="11"/>
        <v>46102</v>
      </c>
      <c r="B103" s="1" t="str">
        <f t="shared" si="6"/>
        <v>sábado</v>
      </c>
      <c r="C103" s="2" t="str">
        <f t="shared" si="7"/>
        <v>não útil</v>
      </c>
      <c r="D103" s="3" t="str" cm="1">
        <f t="array" ref="D103">INDEX($L$2:$L$6,IF(MOD(ROW(),5)=0,5,MOD(ROW(),5)))</f>
        <v>Monitor</v>
      </c>
      <c r="E103" t="str">
        <f t="shared" si="8"/>
        <v>informatica</v>
      </c>
      <c r="F103">
        <v>4</v>
      </c>
      <c r="G103" s="4">
        <f t="shared" si="9"/>
        <v>499.99</v>
      </c>
      <c r="H103" s="4">
        <f t="shared" si="10"/>
        <v>1999.96</v>
      </c>
    </row>
    <row r="104" spans="1:8" x14ac:dyDescent="0.25">
      <c r="A104" s="1">
        <f t="shared" si="11"/>
        <v>46102</v>
      </c>
      <c r="B104" s="1" t="str">
        <f t="shared" si="6"/>
        <v>sábado</v>
      </c>
      <c r="C104" s="2" t="str">
        <f t="shared" si="7"/>
        <v>não útil</v>
      </c>
      <c r="D104" s="3" t="str" cm="1">
        <f t="array" ref="D104">INDEX($L$2:$L$6,IF(MOD(ROW(),5)=0,5,MOD(ROW(),5)))</f>
        <v>Caderno</v>
      </c>
      <c r="E104" t="str">
        <f t="shared" si="8"/>
        <v>papelaria</v>
      </c>
      <c r="F104">
        <v>1</v>
      </c>
      <c r="G104" s="4">
        <f t="shared" si="9"/>
        <v>24.99</v>
      </c>
      <c r="H104" s="4">
        <f t="shared" si="10"/>
        <v>24.99</v>
      </c>
    </row>
    <row r="105" spans="1:8" x14ac:dyDescent="0.25">
      <c r="A105" s="1">
        <f t="shared" si="11"/>
        <v>46102</v>
      </c>
      <c r="B105" s="1" t="str">
        <f t="shared" si="6"/>
        <v>sábado</v>
      </c>
      <c r="C105" s="2" t="str">
        <f t="shared" si="7"/>
        <v>não útil</v>
      </c>
      <c r="D105" s="3" t="str" cm="1">
        <f t="array" ref="D105">INDEX($L$2:$L$6,IF(MOD(ROW(),5)=0,5,MOD(ROW(),5)))</f>
        <v>Caneta</v>
      </c>
      <c r="E105" t="str">
        <f t="shared" si="8"/>
        <v>papelaria</v>
      </c>
      <c r="F105">
        <v>6</v>
      </c>
      <c r="G105" s="4">
        <f t="shared" si="9"/>
        <v>6.99</v>
      </c>
      <c r="H105" s="4">
        <f t="shared" si="10"/>
        <v>41.94</v>
      </c>
    </row>
    <row r="106" spans="1:8" x14ac:dyDescent="0.25">
      <c r="A106" s="1">
        <f t="shared" si="11"/>
        <v>46102</v>
      </c>
      <c r="B106" s="1" t="str">
        <f t="shared" si="6"/>
        <v>sábado</v>
      </c>
      <c r="C106" s="2" t="str">
        <f t="shared" si="7"/>
        <v>não útil</v>
      </c>
      <c r="D106" s="3" t="str" cm="1">
        <f t="array" ref="D106">INDEX($L$2:$L$6,IF(MOD(ROW(),5)=0,5,MOD(ROW(),5)))</f>
        <v>Mouse</v>
      </c>
      <c r="E106" t="str">
        <f t="shared" si="8"/>
        <v>informatica</v>
      </c>
      <c r="F106">
        <v>5</v>
      </c>
      <c r="G106" s="4">
        <f t="shared" si="9"/>
        <v>29.9</v>
      </c>
      <c r="H106" s="4">
        <f t="shared" si="10"/>
        <v>149.5</v>
      </c>
    </row>
    <row r="107" spans="1:8" x14ac:dyDescent="0.25">
      <c r="A107" s="1">
        <f t="shared" si="11"/>
        <v>46103</v>
      </c>
      <c r="B107" s="1" t="str">
        <f t="shared" si="6"/>
        <v>domingo</v>
      </c>
      <c r="C107" s="2" t="str">
        <f t="shared" si="7"/>
        <v>não útil</v>
      </c>
      <c r="D107" s="3" t="str" cm="1">
        <f t="array" ref="D107">INDEX($L$2:$L$6,IF(MOD(ROW(),5)=0,5,MOD(ROW(),5)))</f>
        <v>Teclado</v>
      </c>
      <c r="E107" t="str">
        <f t="shared" si="8"/>
        <v>informatica</v>
      </c>
      <c r="F107">
        <v>9</v>
      </c>
      <c r="G107" s="4">
        <f t="shared" si="9"/>
        <v>61.9</v>
      </c>
      <c r="H107" s="4">
        <f t="shared" si="10"/>
        <v>557.1</v>
      </c>
    </row>
    <row r="108" spans="1:8" x14ac:dyDescent="0.25">
      <c r="A108" s="1">
        <f t="shared" si="11"/>
        <v>46103</v>
      </c>
      <c r="B108" s="1" t="str">
        <f t="shared" si="6"/>
        <v>domingo</v>
      </c>
      <c r="C108" s="2" t="str">
        <f t="shared" si="7"/>
        <v>não útil</v>
      </c>
      <c r="D108" s="3" t="str" cm="1">
        <f t="array" ref="D108">INDEX($L$2:$L$6,IF(MOD(ROW(),5)=0,5,MOD(ROW(),5)))</f>
        <v>Monitor</v>
      </c>
      <c r="E108" t="str">
        <f t="shared" si="8"/>
        <v>informatica</v>
      </c>
      <c r="F108">
        <v>6</v>
      </c>
      <c r="G108" s="4">
        <f t="shared" si="9"/>
        <v>499.99</v>
      </c>
      <c r="H108" s="4">
        <f t="shared" si="10"/>
        <v>2999.94</v>
      </c>
    </row>
    <row r="109" spans="1:8" x14ac:dyDescent="0.25">
      <c r="A109" s="1">
        <f t="shared" si="11"/>
        <v>46103</v>
      </c>
      <c r="B109" s="1" t="str">
        <f t="shared" si="6"/>
        <v>domingo</v>
      </c>
      <c r="C109" s="2" t="str">
        <f t="shared" si="7"/>
        <v>não útil</v>
      </c>
      <c r="D109" s="3" t="str" cm="1">
        <f t="array" ref="D109">INDEX($L$2:$L$6,IF(MOD(ROW(),5)=0,5,MOD(ROW(),5)))</f>
        <v>Caderno</v>
      </c>
      <c r="E109" t="str">
        <f t="shared" si="8"/>
        <v>papelaria</v>
      </c>
      <c r="F109">
        <v>6</v>
      </c>
      <c r="G109" s="4">
        <f t="shared" si="9"/>
        <v>24.99</v>
      </c>
      <c r="H109" s="4">
        <f t="shared" si="10"/>
        <v>149.94</v>
      </c>
    </row>
    <row r="110" spans="1:8" x14ac:dyDescent="0.25">
      <c r="A110" s="1">
        <f t="shared" si="11"/>
        <v>46103</v>
      </c>
      <c r="B110" s="1" t="str">
        <f t="shared" si="6"/>
        <v>domingo</v>
      </c>
      <c r="C110" s="2" t="str">
        <f t="shared" si="7"/>
        <v>não útil</v>
      </c>
      <c r="D110" s="3" t="str" cm="1">
        <f t="array" ref="D110">INDEX($L$2:$L$6,IF(MOD(ROW(),5)=0,5,MOD(ROW(),5)))</f>
        <v>Caneta</v>
      </c>
      <c r="E110" t="str">
        <f t="shared" si="8"/>
        <v>papelaria</v>
      </c>
      <c r="F110">
        <v>4</v>
      </c>
      <c r="G110" s="4">
        <f t="shared" si="9"/>
        <v>6.99</v>
      </c>
      <c r="H110" s="4">
        <f t="shared" si="10"/>
        <v>27.96</v>
      </c>
    </row>
    <row r="111" spans="1:8" x14ac:dyDescent="0.25">
      <c r="A111" s="1">
        <f t="shared" si="11"/>
        <v>46103</v>
      </c>
      <c r="B111" s="1" t="str">
        <f t="shared" si="6"/>
        <v>domingo</v>
      </c>
      <c r="C111" s="2" t="str">
        <f t="shared" si="7"/>
        <v>não útil</v>
      </c>
      <c r="D111" s="3" t="str" cm="1">
        <f t="array" ref="D111">INDEX($L$2:$L$6,IF(MOD(ROW(),5)=0,5,MOD(ROW(),5)))</f>
        <v>Mouse</v>
      </c>
      <c r="E111" t="str">
        <f t="shared" si="8"/>
        <v>informatica</v>
      </c>
      <c r="F111">
        <v>6</v>
      </c>
      <c r="G111" s="4">
        <f t="shared" si="9"/>
        <v>29.9</v>
      </c>
      <c r="H111" s="4">
        <f t="shared" si="10"/>
        <v>179.39999999999998</v>
      </c>
    </row>
    <row r="112" spans="1:8" x14ac:dyDescent="0.25">
      <c r="A112" s="1">
        <f t="shared" si="11"/>
        <v>46104</v>
      </c>
      <c r="B112" s="1" t="str">
        <f t="shared" si="6"/>
        <v>segunda-feira</v>
      </c>
      <c r="C112" s="2" t="str">
        <f t="shared" si="7"/>
        <v>útil</v>
      </c>
      <c r="D112" s="3" t="str" cm="1">
        <f t="array" ref="D112">INDEX($L$2:$L$6,IF(MOD(ROW(),5)=0,5,MOD(ROW(),5)))</f>
        <v>Teclado</v>
      </c>
      <c r="E112" t="str">
        <f t="shared" si="8"/>
        <v>informatica</v>
      </c>
      <c r="F112">
        <v>7</v>
      </c>
      <c r="G112" s="4">
        <f t="shared" si="9"/>
        <v>61.9</v>
      </c>
      <c r="H112" s="4">
        <f t="shared" si="10"/>
        <v>433.3</v>
      </c>
    </row>
    <row r="113" spans="1:8" x14ac:dyDescent="0.25">
      <c r="A113" s="1">
        <f t="shared" si="11"/>
        <v>46104</v>
      </c>
      <c r="B113" s="1" t="str">
        <f t="shared" si="6"/>
        <v>segunda-feira</v>
      </c>
      <c r="C113" s="2" t="str">
        <f t="shared" si="7"/>
        <v>útil</v>
      </c>
      <c r="D113" s="3" t="str" cm="1">
        <f t="array" ref="D113">INDEX($L$2:$L$6,IF(MOD(ROW(),5)=0,5,MOD(ROW(),5)))</f>
        <v>Monitor</v>
      </c>
      <c r="E113" t="str">
        <f t="shared" si="8"/>
        <v>informatica</v>
      </c>
      <c r="F113">
        <v>8</v>
      </c>
      <c r="G113" s="4">
        <f t="shared" si="9"/>
        <v>499.99</v>
      </c>
      <c r="H113" s="4">
        <f t="shared" si="10"/>
        <v>3999.92</v>
      </c>
    </row>
    <row r="114" spans="1:8" x14ac:dyDescent="0.25">
      <c r="A114" s="1">
        <f t="shared" si="11"/>
        <v>46104</v>
      </c>
      <c r="B114" s="1" t="str">
        <f t="shared" si="6"/>
        <v>segunda-feira</v>
      </c>
      <c r="C114" s="2" t="str">
        <f t="shared" si="7"/>
        <v>útil</v>
      </c>
      <c r="D114" s="3" t="str" cm="1">
        <f t="array" ref="D114">INDEX($L$2:$L$6,IF(MOD(ROW(),5)=0,5,MOD(ROW(),5)))</f>
        <v>Caderno</v>
      </c>
      <c r="E114" t="str">
        <f t="shared" si="8"/>
        <v>papelaria</v>
      </c>
      <c r="F114">
        <v>10</v>
      </c>
      <c r="G114" s="4">
        <f t="shared" si="9"/>
        <v>24.99</v>
      </c>
      <c r="H114" s="4">
        <f t="shared" si="10"/>
        <v>249.89999999999998</v>
      </c>
    </row>
    <row r="115" spans="1:8" x14ac:dyDescent="0.25">
      <c r="A115" s="1">
        <f t="shared" si="11"/>
        <v>46104</v>
      </c>
      <c r="B115" s="1" t="str">
        <f t="shared" si="6"/>
        <v>segunda-feira</v>
      </c>
      <c r="C115" s="2" t="str">
        <f t="shared" si="7"/>
        <v>útil</v>
      </c>
      <c r="D115" s="3" t="str" cm="1">
        <f t="array" ref="D115">INDEX($L$2:$L$6,IF(MOD(ROW(),5)=0,5,MOD(ROW(),5)))</f>
        <v>Caneta</v>
      </c>
      <c r="E115" t="str">
        <f t="shared" si="8"/>
        <v>papelaria</v>
      </c>
      <c r="F115">
        <v>3</v>
      </c>
      <c r="G115" s="4">
        <f t="shared" si="9"/>
        <v>6.99</v>
      </c>
      <c r="H115" s="4">
        <f t="shared" si="10"/>
        <v>20.97</v>
      </c>
    </row>
    <row r="116" spans="1:8" x14ac:dyDescent="0.25">
      <c r="A116" s="1">
        <f t="shared" si="11"/>
        <v>46104</v>
      </c>
      <c r="B116" s="1" t="str">
        <f t="shared" si="6"/>
        <v>segunda-feira</v>
      </c>
      <c r="C116" s="2" t="str">
        <f t="shared" si="7"/>
        <v>útil</v>
      </c>
      <c r="D116" s="3" t="str" cm="1">
        <f t="array" ref="D116">INDEX($L$2:$L$6,IF(MOD(ROW(),5)=0,5,MOD(ROW(),5)))</f>
        <v>Mouse</v>
      </c>
      <c r="E116" t="str">
        <f t="shared" si="8"/>
        <v>informatica</v>
      </c>
      <c r="F116">
        <v>8</v>
      </c>
      <c r="G116" s="4">
        <f t="shared" si="9"/>
        <v>29.9</v>
      </c>
      <c r="H116" s="4">
        <f t="shared" si="10"/>
        <v>239.2</v>
      </c>
    </row>
    <row r="117" spans="1:8" x14ac:dyDescent="0.25">
      <c r="A117" s="1">
        <f t="shared" si="11"/>
        <v>46105</v>
      </c>
      <c r="B117" s="1" t="str">
        <f t="shared" si="6"/>
        <v>terça-feira</v>
      </c>
      <c r="C117" s="2" t="str">
        <f t="shared" si="7"/>
        <v>útil</v>
      </c>
      <c r="D117" s="3" t="str" cm="1">
        <f t="array" ref="D117">INDEX($L$2:$L$6,IF(MOD(ROW(),5)=0,5,MOD(ROW(),5)))</f>
        <v>Teclado</v>
      </c>
      <c r="E117" t="str">
        <f t="shared" si="8"/>
        <v>informatica</v>
      </c>
      <c r="F117">
        <v>5</v>
      </c>
      <c r="G117" s="4">
        <f t="shared" si="9"/>
        <v>61.9</v>
      </c>
      <c r="H117" s="4">
        <f t="shared" si="10"/>
        <v>309.5</v>
      </c>
    </row>
    <row r="118" spans="1:8" x14ac:dyDescent="0.25">
      <c r="A118" s="1">
        <f t="shared" si="11"/>
        <v>46105</v>
      </c>
      <c r="B118" s="1" t="str">
        <f t="shared" si="6"/>
        <v>terça-feira</v>
      </c>
      <c r="C118" s="2" t="str">
        <f t="shared" si="7"/>
        <v>útil</v>
      </c>
      <c r="D118" s="3" t="str" cm="1">
        <f t="array" ref="D118">INDEX($L$2:$L$6,IF(MOD(ROW(),5)=0,5,MOD(ROW(),5)))</f>
        <v>Monitor</v>
      </c>
      <c r="E118" t="str">
        <f t="shared" si="8"/>
        <v>informatica</v>
      </c>
      <c r="F118">
        <v>9</v>
      </c>
      <c r="G118" s="4">
        <f t="shared" si="9"/>
        <v>499.99</v>
      </c>
      <c r="H118" s="4">
        <f t="shared" si="10"/>
        <v>4499.91</v>
      </c>
    </row>
    <row r="119" spans="1:8" x14ac:dyDescent="0.25">
      <c r="A119" s="1">
        <f t="shared" si="11"/>
        <v>46105</v>
      </c>
      <c r="B119" s="1" t="str">
        <f t="shared" si="6"/>
        <v>terça-feira</v>
      </c>
      <c r="C119" s="2" t="str">
        <f t="shared" si="7"/>
        <v>útil</v>
      </c>
      <c r="D119" s="3" t="str" cm="1">
        <f t="array" ref="D119">INDEX($L$2:$L$6,IF(MOD(ROW(),5)=0,5,MOD(ROW(),5)))</f>
        <v>Caderno</v>
      </c>
      <c r="E119" t="str">
        <f t="shared" si="8"/>
        <v>papelaria</v>
      </c>
      <c r="F119">
        <v>9</v>
      </c>
      <c r="G119" s="4">
        <f t="shared" si="9"/>
        <v>24.99</v>
      </c>
      <c r="H119" s="4">
        <f t="shared" si="10"/>
        <v>224.91</v>
      </c>
    </row>
    <row r="120" spans="1:8" x14ac:dyDescent="0.25">
      <c r="A120" s="1">
        <f t="shared" si="11"/>
        <v>46105</v>
      </c>
      <c r="B120" s="1" t="str">
        <f t="shared" si="6"/>
        <v>terça-feira</v>
      </c>
      <c r="C120" s="2" t="str">
        <f t="shared" si="7"/>
        <v>útil</v>
      </c>
      <c r="D120" s="3" t="str" cm="1">
        <f t="array" ref="D120">INDEX($L$2:$L$6,IF(MOD(ROW(),5)=0,5,MOD(ROW(),5)))</f>
        <v>Caneta</v>
      </c>
      <c r="E120" t="str">
        <f t="shared" si="8"/>
        <v>papelaria</v>
      </c>
      <c r="F120">
        <v>1</v>
      </c>
      <c r="G120" s="4">
        <f t="shared" si="9"/>
        <v>6.99</v>
      </c>
      <c r="H120" s="4">
        <f t="shared" si="10"/>
        <v>6.99</v>
      </c>
    </row>
    <row r="121" spans="1:8" x14ac:dyDescent="0.25">
      <c r="A121" s="1">
        <f t="shared" si="11"/>
        <v>46105</v>
      </c>
      <c r="B121" s="1" t="str">
        <f t="shared" si="6"/>
        <v>terça-feira</v>
      </c>
      <c r="C121" s="2" t="str">
        <f t="shared" si="7"/>
        <v>útil</v>
      </c>
      <c r="D121" s="3" t="str" cm="1">
        <f t="array" ref="D121">INDEX($L$2:$L$6,IF(MOD(ROW(),5)=0,5,MOD(ROW(),5)))</f>
        <v>Mouse</v>
      </c>
      <c r="E121" t="str">
        <f t="shared" si="8"/>
        <v>informatica</v>
      </c>
      <c r="F121">
        <v>7</v>
      </c>
      <c r="G121" s="4">
        <f t="shared" si="9"/>
        <v>29.9</v>
      </c>
      <c r="H121" s="4">
        <f t="shared" si="10"/>
        <v>209.29999999999998</v>
      </c>
    </row>
    <row r="122" spans="1:8" x14ac:dyDescent="0.25">
      <c r="A122" s="1">
        <f t="shared" si="11"/>
        <v>46106</v>
      </c>
      <c r="B122" s="1" t="str">
        <f t="shared" si="6"/>
        <v>quarta-feira</v>
      </c>
      <c r="C122" s="2" t="str">
        <f t="shared" si="7"/>
        <v>útil</v>
      </c>
      <c r="D122" s="3" t="str" cm="1">
        <f t="array" ref="D122">INDEX($L$2:$L$6,IF(MOD(ROW(),5)=0,5,MOD(ROW(),5)))</f>
        <v>Teclado</v>
      </c>
      <c r="E122" t="str">
        <f t="shared" si="8"/>
        <v>informatica</v>
      </c>
      <c r="F122">
        <v>9</v>
      </c>
      <c r="G122" s="4">
        <f t="shared" si="9"/>
        <v>61.9</v>
      </c>
      <c r="H122" s="4">
        <f t="shared" si="10"/>
        <v>557.1</v>
      </c>
    </row>
    <row r="123" spans="1:8" x14ac:dyDescent="0.25">
      <c r="A123" s="1">
        <f t="shared" si="11"/>
        <v>46106</v>
      </c>
      <c r="B123" s="1" t="str">
        <f t="shared" si="6"/>
        <v>quarta-feira</v>
      </c>
      <c r="C123" s="2" t="str">
        <f t="shared" si="7"/>
        <v>útil</v>
      </c>
      <c r="D123" s="3" t="str" cm="1">
        <f t="array" ref="D123">INDEX($L$2:$L$6,IF(MOD(ROW(),5)=0,5,MOD(ROW(),5)))</f>
        <v>Monitor</v>
      </c>
      <c r="E123" t="str">
        <f t="shared" si="8"/>
        <v>informatica</v>
      </c>
      <c r="F123">
        <v>4</v>
      </c>
      <c r="G123" s="4">
        <f t="shared" si="9"/>
        <v>499.99</v>
      </c>
      <c r="H123" s="4">
        <f t="shared" si="10"/>
        <v>1999.96</v>
      </c>
    </row>
    <row r="124" spans="1:8" x14ac:dyDescent="0.25">
      <c r="A124" s="1">
        <f t="shared" si="11"/>
        <v>46106</v>
      </c>
      <c r="B124" s="1" t="str">
        <f t="shared" si="6"/>
        <v>quarta-feira</v>
      </c>
      <c r="C124" s="2" t="str">
        <f t="shared" si="7"/>
        <v>útil</v>
      </c>
      <c r="D124" s="3" t="str" cm="1">
        <f t="array" ref="D124">INDEX($L$2:$L$6,IF(MOD(ROW(),5)=0,5,MOD(ROW(),5)))</f>
        <v>Caderno</v>
      </c>
      <c r="E124" t="str">
        <f t="shared" si="8"/>
        <v>papelaria</v>
      </c>
      <c r="F124">
        <v>8</v>
      </c>
      <c r="G124" s="4">
        <f t="shared" si="9"/>
        <v>24.99</v>
      </c>
      <c r="H124" s="4">
        <f t="shared" si="10"/>
        <v>199.92</v>
      </c>
    </row>
    <row r="125" spans="1:8" x14ac:dyDescent="0.25">
      <c r="A125" s="1">
        <f t="shared" si="11"/>
        <v>46106</v>
      </c>
      <c r="B125" s="1" t="str">
        <f t="shared" si="6"/>
        <v>quarta-feira</v>
      </c>
      <c r="C125" s="2" t="str">
        <f t="shared" si="7"/>
        <v>útil</v>
      </c>
      <c r="D125" s="3" t="str" cm="1">
        <f t="array" ref="D125">INDEX($L$2:$L$6,IF(MOD(ROW(),5)=0,5,MOD(ROW(),5)))</f>
        <v>Caneta</v>
      </c>
      <c r="E125" t="str">
        <f t="shared" si="8"/>
        <v>papelaria</v>
      </c>
      <c r="F125">
        <v>5</v>
      </c>
      <c r="G125" s="4">
        <f t="shared" si="9"/>
        <v>6.99</v>
      </c>
      <c r="H125" s="4">
        <f t="shared" si="10"/>
        <v>34.950000000000003</v>
      </c>
    </row>
    <row r="126" spans="1:8" x14ac:dyDescent="0.25">
      <c r="A126" s="1">
        <f t="shared" si="11"/>
        <v>46106</v>
      </c>
      <c r="B126" s="1" t="str">
        <f t="shared" si="6"/>
        <v>quarta-feira</v>
      </c>
      <c r="C126" s="2" t="str">
        <f t="shared" si="7"/>
        <v>útil</v>
      </c>
      <c r="D126" s="3" t="str" cm="1">
        <f t="array" ref="D126">INDEX($L$2:$L$6,IF(MOD(ROW(),5)=0,5,MOD(ROW(),5)))</f>
        <v>Mouse</v>
      </c>
      <c r="E126" t="str">
        <f t="shared" si="8"/>
        <v>informatica</v>
      </c>
      <c r="F126">
        <v>8</v>
      </c>
      <c r="G126" s="4">
        <f t="shared" si="9"/>
        <v>29.9</v>
      </c>
      <c r="H126" s="4">
        <f t="shared" si="10"/>
        <v>239.2</v>
      </c>
    </row>
    <row r="127" spans="1:8" x14ac:dyDescent="0.25">
      <c r="A127" s="1">
        <f t="shared" si="11"/>
        <v>46107</v>
      </c>
      <c r="B127" s="1" t="str">
        <f t="shared" si="6"/>
        <v>quinta-feira</v>
      </c>
      <c r="C127" s="2" t="str">
        <f t="shared" si="7"/>
        <v>útil</v>
      </c>
      <c r="D127" s="3" t="str" cm="1">
        <f t="array" ref="D127">INDEX($L$2:$L$6,IF(MOD(ROW(),5)=0,5,MOD(ROW(),5)))</f>
        <v>Teclado</v>
      </c>
      <c r="E127" t="str">
        <f t="shared" si="8"/>
        <v>informatica</v>
      </c>
      <c r="F127">
        <v>5</v>
      </c>
      <c r="G127" s="4">
        <f t="shared" si="9"/>
        <v>61.9</v>
      </c>
      <c r="H127" s="4">
        <f t="shared" si="10"/>
        <v>309.5</v>
      </c>
    </row>
    <row r="128" spans="1:8" x14ac:dyDescent="0.25">
      <c r="A128" s="1">
        <f t="shared" si="11"/>
        <v>46107</v>
      </c>
      <c r="B128" s="1" t="str">
        <f t="shared" si="6"/>
        <v>quinta-feira</v>
      </c>
      <c r="C128" s="2" t="str">
        <f t="shared" si="7"/>
        <v>útil</v>
      </c>
      <c r="D128" s="3" t="str" cm="1">
        <f t="array" ref="D128">INDEX($L$2:$L$6,IF(MOD(ROW(),5)=0,5,MOD(ROW(),5)))</f>
        <v>Monitor</v>
      </c>
      <c r="E128" t="str">
        <f t="shared" si="8"/>
        <v>informatica</v>
      </c>
      <c r="F128">
        <v>7</v>
      </c>
      <c r="G128" s="4">
        <f t="shared" si="9"/>
        <v>499.99</v>
      </c>
      <c r="H128" s="4">
        <f t="shared" si="10"/>
        <v>3499.9300000000003</v>
      </c>
    </row>
    <row r="129" spans="1:8" x14ac:dyDescent="0.25">
      <c r="A129" s="1">
        <f t="shared" si="11"/>
        <v>46107</v>
      </c>
      <c r="B129" s="1" t="str">
        <f t="shared" si="6"/>
        <v>quinta-feira</v>
      </c>
      <c r="C129" s="2" t="str">
        <f t="shared" si="7"/>
        <v>útil</v>
      </c>
      <c r="D129" s="3" t="str" cm="1">
        <f t="array" ref="D129">INDEX($L$2:$L$6,IF(MOD(ROW(),5)=0,5,MOD(ROW(),5)))</f>
        <v>Caderno</v>
      </c>
      <c r="E129" t="str">
        <f t="shared" si="8"/>
        <v>papelaria</v>
      </c>
      <c r="F129">
        <v>5</v>
      </c>
      <c r="G129" s="4">
        <f t="shared" si="9"/>
        <v>24.99</v>
      </c>
      <c r="H129" s="4">
        <f t="shared" si="10"/>
        <v>124.94999999999999</v>
      </c>
    </row>
    <row r="130" spans="1:8" x14ac:dyDescent="0.25">
      <c r="A130" s="1">
        <f t="shared" si="11"/>
        <v>46107</v>
      </c>
      <c r="B130" s="1" t="str">
        <f t="shared" si="6"/>
        <v>quinta-feira</v>
      </c>
      <c r="C130" s="2" t="str">
        <f t="shared" si="7"/>
        <v>útil</v>
      </c>
      <c r="D130" s="3" t="str" cm="1">
        <f t="array" ref="D130">INDEX($L$2:$L$6,IF(MOD(ROW(),5)=0,5,MOD(ROW(),5)))</f>
        <v>Caneta</v>
      </c>
      <c r="E130" t="str">
        <f t="shared" si="8"/>
        <v>papelaria</v>
      </c>
      <c r="F130">
        <v>2</v>
      </c>
      <c r="G130" s="4">
        <f t="shared" si="9"/>
        <v>6.99</v>
      </c>
      <c r="H130" s="4">
        <f t="shared" si="10"/>
        <v>13.98</v>
      </c>
    </row>
    <row r="131" spans="1:8" x14ac:dyDescent="0.25">
      <c r="A131" s="1">
        <f t="shared" si="11"/>
        <v>46107</v>
      </c>
      <c r="B131" s="1" t="str">
        <f t="shared" ref="B131:B156" si="12">TEXT(A131,"dddd")</f>
        <v>quinta-feira</v>
      </c>
      <c r="C131" s="2" t="str">
        <f t="shared" ref="C131:C156" si="13">IF(OR(B131="sábado",B131="domingo"),"não útil","útil")</f>
        <v>útil</v>
      </c>
      <c r="D131" s="3" t="str" cm="1">
        <f t="array" ref="D131">INDEX($L$2:$L$6,IF(MOD(ROW(),5)=0,5,MOD(ROW(),5)))</f>
        <v>Mouse</v>
      </c>
      <c r="E131" t="str">
        <f t="shared" ref="E131:E156" si="14">IF(OR(D131="Teclado",D131="Monitor",D131="Mouse"),"informatica","papelaria")</f>
        <v>informatica</v>
      </c>
      <c r="F131">
        <v>10</v>
      </c>
      <c r="G131" s="4">
        <f t="shared" ref="G131:G156" si="15">VLOOKUP(D131,$L$2:$M$6,2,FALSE)</f>
        <v>29.9</v>
      </c>
      <c r="H131" s="4">
        <f t="shared" ref="H131:H156" si="16">PRODUCT(G131,F131)</f>
        <v>299</v>
      </c>
    </row>
    <row r="132" spans="1:8" x14ac:dyDescent="0.25">
      <c r="A132" s="1">
        <f t="shared" ref="A132:A156" si="17">$A$2+INT((ROW()-2)/5)</f>
        <v>46108</v>
      </c>
      <c r="B132" s="1" t="str">
        <f t="shared" si="12"/>
        <v>sexta-feira</v>
      </c>
      <c r="C132" s="2" t="str">
        <f t="shared" si="13"/>
        <v>útil</v>
      </c>
      <c r="D132" s="3" t="str" cm="1">
        <f t="array" ref="D132">INDEX($L$2:$L$6,IF(MOD(ROW(),5)=0,5,MOD(ROW(),5)))</f>
        <v>Teclado</v>
      </c>
      <c r="E132" t="str">
        <f t="shared" si="14"/>
        <v>informatica</v>
      </c>
      <c r="F132">
        <v>10</v>
      </c>
      <c r="G132" s="4">
        <f t="shared" si="15"/>
        <v>61.9</v>
      </c>
      <c r="H132" s="4">
        <f t="shared" si="16"/>
        <v>619</v>
      </c>
    </row>
    <row r="133" spans="1:8" x14ac:dyDescent="0.25">
      <c r="A133" s="1">
        <f t="shared" si="17"/>
        <v>46108</v>
      </c>
      <c r="B133" s="1" t="str">
        <f t="shared" si="12"/>
        <v>sexta-feira</v>
      </c>
      <c r="C133" s="2" t="str">
        <f t="shared" si="13"/>
        <v>útil</v>
      </c>
      <c r="D133" s="3" t="str" cm="1">
        <f t="array" ref="D133">INDEX($L$2:$L$6,IF(MOD(ROW(),5)=0,5,MOD(ROW(),5)))</f>
        <v>Monitor</v>
      </c>
      <c r="E133" t="str">
        <f t="shared" si="14"/>
        <v>informatica</v>
      </c>
      <c r="F133">
        <v>7</v>
      </c>
      <c r="G133" s="4">
        <f t="shared" si="15"/>
        <v>499.99</v>
      </c>
      <c r="H133" s="4">
        <f t="shared" si="16"/>
        <v>3499.9300000000003</v>
      </c>
    </row>
    <row r="134" spans="1:8" x14ac:dyDescent="0.25">
      <c r="A134" s="1">
        <f t="shared" si="17"/>
        <v>46108</v>
      </c>
      <c r="B134" s="1" t="str">
        <f t="shared" si="12"/>
        <v>sexta-feira</v>
      </c>
      <c r="C134" s="2" t="str">
        <f t="shared" si="13"/>
        <v>útil</v>
      </c>
      <c r="D134" s="3" t="str" cm="1">
        <f t="array" ref="D134">INDEX($L$2:$L$6,IF(MOD(ROW(),5)=0,5,MOD(ROW(),5)))</f>
        <v>Caderno</v>
      </c>
      <c r="E134" t="str">
        <f t="shared" si="14"/>
        <v>papelaria</v>
      </c>
      <c r="F134">
        <v>10</v>
      </c>
      <c r="G134" s="4">
        <f t="shared" si="15"/>
        <v>24.99</v>
      </c>
      <c r="H134" s="4">
        <f t="shared" si="16"/>
        <v>249.89999999999998</v>
      </c>
    </row>
    <row r="135" spans="1:8" x14ac:dyDescent="0.25">
      <c r="A135" s="1">
        <f t="shared" si="17"/>
        <v>46108</v>
      </c>
      <c r="B135" s="1" t="str">
        <f t="shared" si="12"/>
        <v>sexta-feira</v>
      </c>
      <c r="C135" s="2" t="str">
        <f t="shared" si="13"/>
        <v>útil</v>
      </c>
      <c r="D135" s="3" t="str" cm="1">
        <f t="array" ref="D135">INDEX($L$2:$L$6,IF(MOD(ROW(),5)=0,5,MOD(ROW(),5)))</f>
        <v>Caneta</v>
      </c>
      <c r="E135" t="str">
        <f t="shared" si="14"/>
        <v>papelaria</v>
      </c>
      <c r="F135">
        <v>9</v>
      </c>
      <c r="G135" s="4">
        <f t="shared" si="15"/>
        <v>6.99</v>
      </c>
      <c r="H135" s="4">
        <f t="shared" si="16"/>
        <v>62.910000000000004</v>
      </c>
    </row>
    <row r="136" spans="1:8" x14ac:dyDescent="0.25">
      <c r="A136" s="1">
        <f t="shared" si="17"/>
        <v>46108</v>
      </c>
      <c r="B136" s="1" t="str">
        <f t="shared" si="12"/>
        <v>sexta-feira</v>
      </c>
      <c r="C136" s="2" t="str">
        <f t="shared" si="13"/>
        <v>útil</v>
      </c>
      <c r="D136" s="3" t="str" cm="1">
        <f t="array" ref="D136">INDEX($L$2:$L$6,IF(MOD(ROW(),5)=0,5,MOD(ROW(),5)))</f>
        <v>Mouse</v>
      </c>
      <c r="E136" t="str">
        <f t="shared" si="14"/>
        <v>informatica</v>
      </c>
      <c r="F136">
        <v>7</v>
      </c>
      <c r="G136" s="4">
        <f t="shared" si="15"/>
        <v>29.9</v>
      </c>
      <c r="H136" s="4">
        <f t="shared" si="16"/>
        <v>209.29999999999998</v>
      </c>
    </row>
    <row r="137" spans="1:8" x14ac:dyDescent="0.25">
      <c r="A137" s="1">
        <f t="shared" si="17"/>
        <v>46109</v>
      </c>
      <c r="B137" s="1" t="str">
        <f t="shared" si="12"/>
        <v>sábado</v>
      </c>
      <c r="C137" s="2" t="str">
        <f t="shared" si="13"/>
        <v>não útil</v>
      </c>
      <c r="D137" s="3" t="str" cm="1">
        <f t="array" ref="D137">INDEX($L$2:$L$6,IF(MOD(ROW(),5)=0,5,MOD(ROW(),5)))</f>
        <v>Teclado</v>
      </c>
      <c r="E137" t="str">
        <f t="shared" si="14"/>
        <v>informatica</v>
      </c>
      <c r="F137">
        <v>10</v>
      </c>
      <c r="G137" s="4">
        <f t="shared" si="15"/>
        <v>61.9</v>
      </c>
      <c r="H137" s="4">
        <f t="shared" si="16"/>
        <v>619</v>
      </c>
    </row>
    <row r="138" spans="1:8" x14ac:dyDescent="0.25">
      <c r="A138" s="1">
        <f t="shared" si="17"/>
        <v>46109</v>
      </c>
      <c r="B138" s="1" t="str">
        <f t="shared" si="12"/>
        <v>sábado</v>
      </c>
      <c r="C138" s="2" t="str">
        <f t="shared" si="13"/>
        <v>não útil</v>
      </c>
      <c r="D138" s="3" t="str" cm="1">
        <f t="array" ref="D138">INDEX($L$2:$L$6,IF(MOD(ROW(),5)=0,5,MOD(ROW(),5)))</f>
        <v>Monitor</v>
      </c>
      <c r="E138" t="str">
        <f t="shared" si="14"/>
        <v>informatica</v>
      </c>
      <c r="F138">
        <v>7</v>
      </c>
      <c r="G138" s="4">
        <f t="shared" si="15"/>
        <v>499.99</v>
      </c>
      <c r="H138" s="4">
        <f t="shared" si="16"/>
        <v>3499.9300000000003</v>
      </c>
    </row>
    <row r="139" spans="1:8" x14ac:dyDescent="0.25">
      <c r="A139" s="1">
        <f t="shared" si="17"/>
        <v>46109</v>
      </c>
      <c r="B139" s="1" t="str">
        <f t="shared" si="12"/>
        <v>sábado</v>
      </c>
      <c r="C139" s="2" t="str">
        <f t="shared" si="13"/>
        <v>não útil</v>
      </c>
      <c r="D139" s="3" t="str" cm="1">
        <f t="array" ref="D139">INDEX($L$2:$L$6,IF(MOD(ROW(),5)=0,5,MOD(ROW(),5)))</f>
        <v>Caderno</v>
      </c>
      <c r="E139" t="str">
        <f t="shared" si="14"/>
        <v>papelaria</v>
      </c>
      <c r="F139">
        <v>7</v>
      </c>
      <c r="G139" s="4">
        <f t="shared" si="15"/>
        <v>24.99</v>
      </c>
      <c r="H139" s="4">
        <f t="shared" si="16"/>
        <v>174.92999999999998</v>
      </c>
    </row>
    <row r="140" spans="1:8" x14ac:dyDescent="0.25">
      <c r="A140" s="1">
        <f t="shared" si="17"/>
        <v>46109</v>
      </c>
      <c r="B140" s="1" t="str">
        <f t="shared" si="12"/>
        <v>sábado</v>
      </c>
      <c r="C140" s="2" t="str">
        <f t="shared" si="13"/>
        <v>não útil</v>
      </c>
      <c r="D140" s="3" t="str" cm="1">
        <f t="array" ref="D140">INDEX($L$2:$L$6,IF(MOD(ROW(),5)=0,5,MOD(ROW(),5)))</f>
        <v>Caneta</v>
      </c>
      <c r="E140" t="str">
        <f t="shared" si="14"/>
        <v>papelaria</v>
      </c>
      <c r="F140">
        <v>3</v>
      </c>
      <c r="G140" s="4">
        <f t="shared" si="15"/>
        <v>6.99</v>
      </c>
      <c r="H140" s="4">
        <f t="shared" si="16"/>
        <v>20.97</v>
      </c>
    </row>
    <row r="141" spans="1:8" x14ac:dyDescent="0.25">
      <c r="A141" s="1">
        <f t="shared" si="17"/>
        <v>46109</v>
      </c>
      <c r="B141" s="1" t="str">
        <f t="shared" si="12"/>
        <v>sábado</v>
      </c>
      <c r="C141" s="2" t="str">
        <f t="shared" si="13"/>
        <v>não útil</v>
      </c>
      <c r="D141" s="3" t="str" cm="1">
        <f t="array" ref="D141">INDEX($L$2:$L$6,IF(MOD(ROW(),5)=0,5,MOD(ROW(),5)))</f>
        <v>Mouse</v>
      </c>
      <c r="E141" t="str">
        <f t="shared" si="14"/>
        <v>informatica</v>
      </c>
      <c r="F141">
        <v>10</v>
      </c>
      <c r="G141" s="4">
        <f t="shared" si="15"/>
        <v>29.9</v>
      </c>
      <c r="H141" s="4">
        <f t="shared" si="16"/>
        <v>299</v>
      </c>
    </row>
    <row r="142" spans="1:8" x14ac:dyDescent="0.25">
      <c r="A142" s="1">
        <f t="shared" si="17"/>
        <v>46110</v>
      </c>
      <c r="B142" s="1" t="str">
        <f t="shared" si="12"/>
        <v>domingo</v>
      </c>
      <c r="C142" s="2" t="str">
        <f t="shared" si="13"/>
        <v>não útil</v>
      </c>
      <c r="D142" s="3" t="str" cm="1">
        <f t="array" ref="D142">INDEX($L$2:$L$6,IF(MOD(ROW(),5)=0,5,MOD(ROW(),5)))</f>
        <v>Teclado</v>
      </c>
      <c r="E142" t="str">
        <f t="shared" si="14"/>
        <v>informatica</v>
      </c>
      <c r="F142">
        <v>7</v>
      </c>
      <c r="G142" s="4">
        <f t="shared" si="15"/>
        <v>61.9</v>
      </c>
      <c r="H142" s="4">
        <f t="shared" si="16"/>
        <v>433.3</v>
      </c>
    </row>
    <row r="143" spans="1:8" x14ac:dyDescent="0.25">
      <c r="A143" s="1">
        <f t="shared" si="17"/>
        <v>46110</v>
      </c>
      <c r="B143" s="1" t="str">
        <f t="shared" si="12"/>
        <v>domingo</v>
      </c>
      <c r="C143" s="2" t="str">
        <f t="shared" si="13"/>
        <v>não útil</v>
      </c>
      <c r="D143" s="3" t="str" cm="1">
        <f t="array" ref="D143">INDEX($L$2:$L$6,IF(MOD(ROW(),5)=0,5,MOD(ROW(),5)))</f>
        <v>Monitor</v>
      </c>
      <c r="E143" t="str">
        <f t="shared" si="14"/>
        <v>informatica</v>
      </c>
      <c r="F143">
        <v>9</v>
      </c>
      <c r="G143" s="4">
        <f t="shared" si="15"/>
        <v>499.99</v>
      </c>
      <c r="H143" s="4">
        <f t="shared" si="16"/>
        <v>4499.91</v>
      </c>
    </row>
    <row r="144" spans="1:8" x14ac:dyDescent="0.25">
      <c r="A144" s="1">
        <f t="shared" si="17"/>
        <v>46110</v>
      </c>
      <c r="B144" s="1" t="str">
        <f t="shared" si="12"/>
        <v>domingo</v>
      </c>
      <c r="C144" s="2" t="str">
        <f t="shared" si="13"/>
        <v>não útil</v>
      </c>
      <c r="D144" s="3" t="str" cm="1">
        <f t="array" ref="D144">INDEX($L$2:$L$6,IF(MOD(ROW(),5)=0,5,MOD(ROW(),5)))</f>
        <v>Caderno</v>
      </c>
      <c r="E144" t="str">
        <f t="shared" si="14"/>
        <v>papelaria</v>
      </c>
      <c r="F144">
        <v>4</v>
      </c>
      <c r="G144" s="4">
        <f t="shared" si="15"/>
        <v>24.99</v>
      </c>
      <c r="H144" s="4">
        <f t="shared" si="16"/>
        <v>99.96</v>
      </c>
    </row>
    <row r="145" spans="1:8" x14ac:dyDescent="0.25">
      <c r="A145" s="1">
        <f t="shared" si="17"/>
        <v>46110</v>
      </c>
      <c r="B145" s="1" t="str">
        <f t="shared" si="12"/>
        <v>domingo</v>
      </c>
      <c r="C145" s="2" t="str">
        <f t="shared" si="13"/>
        <v>não útil</v>
      </c>
      <c r="D145" s="3" t="str" cm="1">
        <f t="array" ref="D145">INDEX($L$2:$L$6,IF(MOD(ROW(),5)=0,5,MOD(ROW(),5)))</f>
        <v>Caneta</v>
      </c>
      <c r="E145" t="str">
        <f t="shared" si="14"/>
        <v>papelaria</v>
      </c>
      <c r="F145">
        <v>2</v>
      </c>
      <c r="G145" s="4">
        <f t="shared" si="15"/>
        <v>6.99</v>
      </c>
      <c r="H145" s="4">
        <f t="shared" si="16"/>
        <v>13.98</v>
      </c>
    </row>
    <row r="146" spans="1:8" x14ac:dyDescent="0.25">
      <c r="A146" s="1">
        <f t="shared" si="17"/>
        <v>46110</v>
      </c>
      <c r="B146" s="1" t="str">
        <f t="shared" si="12"/>
        <v>domingo</v>
      </c>
      <c r="C146" s="2" t="str">
        <f t="shared" si="13"/>
        <v>não útil</v>
      </c>
      <c r="D146" s="3" t="str" cm="1">
        <f t="array" ref="D146">INDEX($L$2:$L$6,IF(MOD(ROW(),5)=0,5,MOD(ROW(),5)))</f>
        <v>Mouse</v>
      </c>
      <c r="E146" t="str">
        <f t="shared" si="14"/>
        <v>informatica</v>
      </c>
      <c r="F146">
        <v>7</v>
      </c>
      <c r="G146" s="4">
        <f t="shared" si="15"/>
        <v>29.9</v>
      </c>
      <c r="H146" s="4">
        <f t="shared" si="16"/>
        <v>209.29999999999998</v>
      </c>
    </row>
    <row r="147" spans="1:8" x14ac:dyDescent="0.25">
      <c r="A147" s="1">
        <f t="shared" si="17"/>
        <v>46111</v>
      </c>
      <c r="B147" s="1" t="str">
        <f t="shared" si="12"/>
        <v>segunda-feira</v>
      </c>
      <c r="C147" s="2" t="str">
        <f t="shared" si="13"/>
        <v>útil</v>
      </c>
      <c r="D147" s="3" t="str" cm="1">
        <f t="array" ref="D147">INDEX($L$2:$L$6,IF(MOD(ROW(),5)=0,5,MOD(ROW(),5)))</f>
        <v>Teclado</v>
      </c>
      <c r="E147" t="str">
        <f t="shared" si="14"/>
        <v>informatica</v>
      </c>
      <c r="F147">
        <v>5</v>
      </c>
      <c r="G147" s="4">
        <f t="shared" si="15"/>
        <v>61.9</v>
      </c>
      <c r="H147" s="4">
        <f t="shared" si="16"/>
        <v>309.5</v>
      </c>
    </row>
    <row r="148" spans="1:8" x14ac:dyDescent="0.25">
      <c r="A148" s="1">
        <f t="shared" si="17"/>
        <v>46111</v>
      </c>
      <c r="B148" s="1" t="str">
        <f t="shared" si="12"/>
        <v>segunda-feira</v>
      </c>
      <c r="C148" s="2" t="str">
        <f t="shared" si="13"/>
        <v>útil</v>
      </c>
      <c r="D148" s="3" t="str" cm="1">
        <f t="array" ref="D148">INDEX($L$2:$L$6,IF(MOD(ROW(),5)=0,5,MOD(ROW(),5)))</f>
        <v>Monitor</v>
      </c>
      <c r="E148" t="str">
        <f t="shared" si="14"/>
        <v>informatica</v>
      </c>
      <c r="F148">
        <v>4</v>
      </c>
      <c r="G148" s="4">
        <f t="shared" si="15"/>
        <v>499.99</v>
      </c>
      <c r="H148" s="4">
        <f t="shared" si="16"/>
        <v>1999.96</v>
      </c>
    </row>
    <row r="149" spans="1:8" x14ac:dyDescent="0.25">
      <c r="A149" s="1">
        <f t="shared" si="17"/>
        <v>46111</v>
      </c>
      <c r="B149" s="1" t="str">
        <f t="shared" si="12"/>
        <v>segunda-feira</v>
      </c>
      <c r="C149" s="2" t="str">
        <f t="shared" si="13"/>
        <v>útil</v>
      </c>
      <c r="D149" s="3" t="str" cm="1">
        <f t="array" ref="D149">INDEX($L$2:$L$6,IF(MOD(ROW(),5)=0,5,MOD(ROW(),5)))</f>
        <v>Caderno</v>
      </c>
      <c r="E149" t="str">
        <f t="shared" si="14"/>
        <v>papelaria</v>
      </c>
      <c r="F149">
        <v>6</v>
      </c>
      <c r="G149" s="4">
        <f t="shared" si="15"/>
        <v>24.99</v>
      </c>
      <c r="H149" s="4">
        <f t="shared" si="16"/>
        <v>149.94</v>
      </c>
    </row>
    <row r="150" spans="1:8" x14ac:dyDescent="0.25">
      <c r="A150" s="1">
        <f t="shared" si="17"/>
        <v>46111</v>
      </c>
      <c r="B150" s="1" t="str">
        <f t="shared" si="12"/>
        <v>segunda-feira</v>
      </c>
      <c r="C150" s="2" t="str">
        <f t="shared" si="13"/>
        <v>útil</v>
      </c>
      <c r="D150" s="3" t="str" cm="1">
        <f t="array" ref="D150">INDEX($L$2:$L$6,IF(MOD(ROW(),5)=0,5,MOD(ROW(),5)))</f>
        <v>Caneta</v>
      </c>
      <c r="E150" t="str">
        <f t="shared" si="14"/>
        <v>papelaria</v>
      </c>
      <c r="F150">
        <v>2</v>
      </c>
      <c r="G150" s="4">
        <f t="shared" si="15"/>
        <v>6.99</v>
      </c>
      <c r="H150" s="4">
        <f t="shared" si="16"/>
        <v>13.98</v>
      </c>
    </row>
    <row r="151" spans="1:8" x14ac:dyDescent="0.25">
      <c r="A151" s="1">
        <f t="shared" si="17"/>
        <v>46111</v>
      </c>
      <c r="B151" s="1" t="str">
        <f t="shared" si="12"/>
        <v>segunda-feira</v>
      </c>
      <c r="C151" s="2" t="str">
        <f t="shared" si="13"/>
        <v>útil</v>
      </c>
      <c r="D151" s="3" t="str" cm="1">
        <f t="array" ref="D151">INDEX($L$2:$L$6,IF(MOD(ROW(),5)=0,5,MOD(ROW(),5)))</f>
        <v>Mouse</v>
      </c>
      <c r="E151" t="str">
        <f t="shared" si="14"/>
        <v>informatica</v>
      </c>
      <c r="F151">
        <v>7</v>
      </c>
      <c r="G151" s="4">
        <f t="shared" si="15"/>
        <v>29.9</v>
      </c>
      <c r="H151" s="4">
        <f t="shared" si="16"/>
        <v>209.29999999999998</v>
      </c>
    </row>
    <row r="152" spans="1:8" x14ac:dyDescent="0.25">
      <c r="A152" s="1">
        <f t="shared" si="17"/>
        <v>46112</v>
      </c>
      <c r="B152" s="1" t="str">
        <f t="shared" si="12"/>
        <v>terça-feira</v>
      </c>
      <c r="C152" s="2" t="str">
        <f t="shared" si="13"/>
        <v>útil</v>
      </c>
      <c r="D152" s="3" t="str" cm="1">
        <f t="array" ref="D152">INDEX($L$2:$L$6,IF(MOD(ROW(),5)=0,5,MOD(ROW(),5)))</f>
        <v>Teclado</v>
      </c>
      <c r="E152" t="str">
        <f t="shared" si="14"/>
        <v>informatica</v>
      </c>
      <c r="F152">
        <v>4</v>
      </c>
      <c r="G152" s="4">
        <f t="shared" si="15"/>
        <v>61.9</v>
      </c>
      <c r="H152" s="4">
        <f t="shared" si="16"/>
        <v>247.6</v>
      </c>
    </row>
    <row r="153" spans="1:8" x14ac:dyDescent="0.25">
      <c r="A153" s="1">
        <f t="shared" si="17"/>
        <v>46112</v>
      </c>
      <c r="B153" s="1" t="str">
        <f t="shared" si="12"/>
        <v>terça-feira</v>
      </c>
      <c r="C153" s="2" t="str">
        <f t="shared" si="13"/>
        <v>útil</v>
      </c>
      <c r="D153" s="3" t="str" cm="1">
        <f t="array" ref="D153">INDEX($L$2:$L$6,IF(MOD(ROW(),5)=0,5,MOD(ROW(),5)))</f>
        <v>Monitor</v>
      </c>
      <c r="E153" t="str">
        <f t="shared" si="14"/>
        <v>informatica</v>
      </c>
      <c r="F153">
        <v>4</v>
      </c>
      <c r="G153" s="4">
        <f t="shared" si="15"/>
        <v>499.99</v>
      </c>
      <c r="H153" s="4">
        <f t="shared" si="16"/>
        <v>1999.96</v>
      </c>
    </row>
    <row r="154" spans="1:8" x14ac:dyDescent="0.25">
      <c r="A154" s="1">
        <f t="shared" si="17"/>
        <v>46112</v>
      </c>
      <c r="B154" s="1" t="str">
        <f t="shared" si="12"/>
        <v>terça-feira</v>
      </c>
      <c r="C154" s="2" t="str">
        <f t="shared" si="13"/>
        <v>útil</v>
      </c>
      <c r="D154" s="3" t="str" cm="1">
        <f t="array" ref="D154">INDEX($L$2:$L$6,IF(MOD(ROW(),5)=0,5,MOD(ROW(),5)))</f>
        <v>Caderno</v>
      </c>
      <c r="E154" t="str">
        <f t="shared" si="14"/>
        <v>papelaria</v>
      </c>
      <c r="F154">
        <v>5</v>
      </c>
      <c r="G154" s="4">
        <f t="shared" si="15"/>
        <v>24.99</v>
      </c>
      <c r="H154" s="4">
        <f t="shared" si="16"/>
        <v>124.94999999999999</v>
      </c>
    </row>
    <row r="155" spans="1:8" x14ac:dyDescent="0.25">
      <c r="A155" s="1">
        <f t="shared" si="17"/>
        <v>46112</v>
      </c>
      <c r="B155" s="1" t="str">
        <f t="shared" si="12"/>
        <v>terça-feira</v>
      </c>
      <c r="C155" s="2" t="str">
        <f t="shared" si="13"/>
        <v>útil</v>
      </c>
      <c r="D155" s="3" t="str" cm="1">
        <f t="array" ref="D155">INDEX($L$2:$L$6,IF(MOD(ROW(),5)=0,5,MOD(ROW(),5)))</f>
        <v>Caneta</v>
      </c>
      <c r="E155" t="str">
        <f t="shared" si="14"/>
        <v>papelaria</v>
      </c>
      <c r="F155">
        <v>5</v>
      </c>
      <c r="G155" s="4">
        <f t="shared" si="15"/>
        <v>6.99</v>
      </c>
      <c r="H155" s="4">
        <f t="shared" si="16"/>
        <v>34.950000000000003</v>
      </c>
    </row>
    <row r="156" spans="1:8" x14ac:dyDescent="0.25">
      <c r="A156" s="1">
        <f t="shared" si="17"/>
        <v>46112</v>
      </c>
      <c r="B156" s="1" t="str">
        <f t="shared" si="12"/>
        <v>terça-feira</v>
      </c>
      <c r="C156" s="2" t="str">
        <f t="shared" si="13"/>
        <v>útil</v>
      </c>
      <c r="D156" s="3" t="str" cm="1">
        <f t="array" ref="D156">INDEX($L$2:$L$6,IF(MOD(ROW(),5)=0,5,MOD(ROW(),5)))</f>
        <v>Mouse</v>
      </c>
      <c r="E156" t="str">
        <f t="shared" si="14"/>
        <v>informatica</v>
      </c>
      <c r="F156">
        <v>8</v>
      </c>
      <c r="G156" s="4">
        <f t="shared" si="15"/>
        <v>29.9</v>
      </c>
      <c r="H156" s="4">
        <f t="shared" si="16"/>
        <v>239.2</v>
      </c>
    </row>
    <row r="157" spans="1:8" x14ac:dyDescent="0.25">
      <c r="A1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Dashboard</vt:lpstr>
      <vt:lpstr>Base 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Sem Sobrenome</cp:lastModifiedBy>
  <cp:revision/>
  <cp:lastPrinted>2026-04-28T16:28:38Z</cp:lastPrinted>
  <dcterms:created xsi:type="dcterms:W3CDTF">2026-03-27T13:53:31Z</dcterms:created>
  <dcterms:modified xsi:type="dcterms:W3CDTF">2026-04-28T16:45:16Z</dcterms:modified>
  <cp:category/>
  <cp:contentStatus/>
</cp:coreProperties>
</file>